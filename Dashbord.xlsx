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Pro\Exc\1\Hospital Project\"/>
    </mc:Choice>
  </mc:AlternateContent>
  <xr:revisionPtr revIDLastSave="0" documentId="13_ncr:1_{6F288876-E982-41D8-BE5E-11990194D18A}" xr6:coauthVersionLast="47" xr6:coauthVersionMax="47" xr10:uidLastSave="{00000000-0000-0000-0000-000000000000}"/>
  <bookViews>
    <workbookView xWindow="-120" yWindow="-120" windowWidth="29040" windowHeight="15720" tabRatio="737" activeTab="1" xr2:uid="{00000000-000D-0000-FFFF-FFFF00000000}"/>
  </bookViews>
  <sheets>
    <sheet name="Pivot_Tab" sheetId="2" r:id="rId1"/>
    <sheet name="Dashboard" sheetId="3" r:id="rId2"/>
    <sheet name="No off Patient" sheetId="4" r:id="rId3"/>
    <sheet name="Avg Waittime" sheetId="5" r:id="rId4"/>
    <sheet name="Average review" sheetId="6" r:id="rId5"/>
  </sheets>
  <definedNames>
    <definedName name="Slicer_Date__Month">#N/A</definedName>
    <definedName name="Slicer_Date__Year">#N/A</definedName>
  </definedNames>
  <calcPr calcId="191029"/>
  <pivotCaches>
    <pivotCache cacheId="1037" r:id="rId6"/>
    <pivotCache cacheId="1040" r:id="rId7"/>
    <pivotCache cacheId="1043" r:id="rId8"/>
    <pivotCache cacheId="1046" r:id="rId9"/>
    <pivotCache cacheId="1049" r:id="rId10"/>
    <pivotCache cacheId="1052" r:id="rId11"/>
    <pivotCache cacheId="1055" r:id="rId12"/>
    <pivotCache cacheId="1058" r:id="rId13"/>
    <pivotCache cacheId="1061" r:id="rId14"/>
    <pivotCache cacheId="1064" r:id="rId15"/>
    <pivotCache cacheId="1067" r:id="rId16"/>
    <pivotCache cacheId="1070" r:id="rId17"/>
  </pivotCaches>
  <extLst>
    <ext xmlns:x14="http://schemas.microsoft.com/office/spreadsheetml/2009/9/main" uri="{876F7934-8845-4945-9796-88D515C7AA90}">
      <x14:pivotCaches>
        <pivotCache cacheId="53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1_1bb1fbe5-794b-4c23-a87a-5e4e39dfe3a8" name="Hospital 1" connection="Query - Hospital 1"/>
          <x15:modelTable id="Calender_Query_60913284-89a5-420e-8dbe-e7601cc4f7f4" name="Calender_Query" connection="Query - Calender_Query"/>
        </x15:modelTables>
        <x15:modelRelationships>
          <x15:modelRelationship fromTable="Hospital 1" fromColumn="Patient Admission Date" toTable="Calender_Query" toColumn="Date"/>
        </x15:modelRelationships>
        <x15:extLst>
          <ext xmlns:x16="http://schemas.microsoft.com/office/spreadsheetml/2014/11/main" uri="{9835A34E-60A6-4A7C-AAB8-D5F71C897F49}">
            <x16:modelTimeGroupings>
              <x16:modelTimeGrouping tableName="Calender_Query"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1" i="2" l="1"/>
  <c r="B9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021EB4-A575-4D82-90EB-15C8A675EF69}" name="Query - Calender_Query" description="Connection to the 'Calender_Query' query in the workbook." type="100" refreshedVersion="8" minRefreshableVersion="5">
    <extLst>
      <ext xmlns:x15="http://schemas.microsoft.com/office/spreadsheetml/2010/11/main" uri="{DE250136-89BD-433C-8126-D09CA5730AF9}">
        <x15:connection id="d3ee28b2-1405-4f3a-8d16-18477a0ad695"/>
      </ext>
    </extLst>
  </connection>
  <connection id="2" xr16:uid="{FA7198D8-FC44-498E-A599-6F6CFE444FEE}" name="Query - Hospital 1" description="Connection to the 'Hospital 1' query in the workbook." type="100" refreshedVersion="8" minRefreshableVersion="5">
    <extLst>
      <ext xmlns:x15="http://schemas.microsoft.com/office/spreadsheetml/2010/11/main" uri="{DE250136-89BD-433C-8126-D09CA5730AF9}">
        <x15:connection id="d64ee251-325e-411d-8d25-e1a7a85510ef"/>
      </ext>
    </extLst>
  </connection>
  <connection id="3" xr16:uid="{D4948E38-A854-406C-997F-DB45F598FA2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<sst xmlns="http://schemas.openxmlformats.org/spreadsheetml/2006/main" count="57" uniqueCount="40">
  <si>
    <t>Count of Patient Id</t>
  </si>
  <si>
    <t>Average of Patient Waittime</t>
  </si>
  <si>
    <t>Average of Patient Satisfaction Score</t>
  </si>
  <si>
    <t>Row Labels</t>
  </si>
  <si>
    <t>Grand Total</t>
  </si>
  <si>
    <t>No of Pat</t>
  </si>
  <si>
    <t>عرض اتجاه يومي باستخدام مخطط شراري (Sparkline) على شكل مساحة، للمساعدة في ملاحظة الأنماط مثل الأيام المزدحمة أو التغيرات الموسمية.</t>
  </si>
  <si>
    <t>Not Admission</t>
  </si>
  <si>
    <t>Admission</t>
  </si>
  <si>
    <t>Sum of Patient Waittime</t>
  </si>
  <si>
    <t>Sum of Patient Satisfaction Score</t>
  </si>
  <si>
    <t>Count of Patient Admission Flag</t>
  </si>
  <si>
    <t>Count of Patient Admission Flag2</t>
  </si>
  <si>
    <t>0-09</t>
  </si>
  <si>
    <t>Count of Age_Group</t>
  </si>
  <si>
    <t>10-19</t>
  </si>
  <si>
    <t>20-29</t>
  </si>
  <si>
    <t>30-39</t>
  </si>
  <si>
    <t>40-49</t>
  </si>
  <si>
    <t>50-59</t>
  </si>
  <si>
    <t>60-69</t>
  </si>
  <si>
    <t>70-79</t>
  </si>
  <si>
    <t>Count of Department Referral</t>
  </si>
  <si>
    <t>Count of Patient Gender</t>
  </si>
  <si>
    <t>ذكور</t>
  </si>
  <si>
    <t>إناث</t>
  </si>
  <si>
    <t>أنثى</t>
  </si>
  <si>
    <t>ذكر</t>
  </si>
  <si>
    <t>طب الجهاز الهضمي</t>
  </si>
  <si>
    <t>طب الأعصاب</t>
  </si>
  <si>
    <t>العلاج الطبيعي</t>
  </si>
  <si>
    <t>جراحة عظام</t>
  </si>
  <si>
    <t>الطب العام</t>
  </si>
  <si>
    <t>مراجعة / مختبر</t>
  </si>
  <si>
    <t>غير متأخرين</t>
  </si>
  <si>
    <t>متأخرين</t>
  </si>
  <si>
    <t>-</t>
  </si>
  <si>
    <t>2023</t>
  </si>
  <si>
    <t>طب الكلى</t>
  </si>
  <si>
    <t>طب القلب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</si>
</sst>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4"/>
      <color theme="1"/>
      <name val="Calibri"/>
      <family val="2"/>
      <scheme val="minor"/>
    </font>
    <font>
      <u/>
      <sz val="11"/>
      <color theme="1"/>
      <name val="Calibri"/>
      <family val="2"/>
      <scheme val="minor"/>
    </font>
    <font>
      <b/>
      <sz val="11"/>
      <color rgb="FF00000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1" tint="0.14999847407452621"/>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0" fillId="0" borderId="0" xfId="0" pivotButton="1"/>
    <xf numFmtId="2" fontId="0" fillId="0" borderId="0" xfId="0" applyNumberFormat="1"/>
    <xf numFmtId="164" fontId="0" fillId="0" borderId="0" xfId="0" applyNumberFormat="1"/>
    <xf numFmtId="14" fontId="0" fillId="0" borderId="0" xfId="0" applyNumberFormat="1" applyAlignment="1">
      <alignment horizontal="left"/>
    </xf>
    <xf numFmtId="0" fontId="0" fillId="0" borderId="0" xfId="0" applyAlignment="1">
      <alignment horizontal="left"/>
    </xf>
    <xf numFmtId="0" fontId="0" fillId="2" borderId="0" xfId="0" applyFill="1"/>
    <xf numFmtId="10" fontId="0" fillId="0" borderId="0" xfId="0" applyNumberFormat="1"/>
    <xf numFmtId="0" fontId="0" fillId="0" borderId="0" xfId="0" applyAlignment="1">
      <alignment horizontal="center"/>
    </xf>
    <xf numFmtId="10" fontId="0" fillId="0" borderId="0" xfId="0" applyNumberFormat="1" applyAlignment="1">
      <alignment horizontal="center"/>
    </xf>
    <xf numFmtId="0" fontId="0" fillId="3" borderId="0" xfId="0" applyFill="1"/>
    <xf numFmtId="1" fontId="0" fillId="0" borderId="0" xfId="0" applyNumberFormat="1"/>
    <xf numFmtId="0" fontId="0" fillId="4" borderId="0" xfId="0" applyFill="1"/>
    <xf numFmtId="0" fontId="2" fillId="4" borderId="0" xfId="0" applyFont="1" applyFill="1"/>
    <xf numFmtId="0" fontId="3" fillId="0" borderId="0" xfId="0" applyFont="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0" xfId="0" applyNumberFormat="1"/>
  </cellXfs>
  <cellStyles count="1">
    <cellStyle name="Normal" xfId="0" builtinId="0"/>
  </cellStyles>
  <dxfs count="332">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2" formatCode="0.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164" formatCode="0.0"/>
    </dxf>
    <dxf>
      <numFmt numFmtId="2" formatCode="0.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2" formatCode="0.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164" formatCode="0.0"/>
    </dxf>
    <dxf>
      <numFmt numFmtId="2" formatCode="0.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3" formatCode="0%"/>
    </dxf>
    <dxf>
      <numFmt numFmtId="14" formatCode="0.00%"/>
    </dxf>
    <dxf>
      <numFmt numFmtId="164" formatCode="0.0"/>
    </dxf>
    <dxf>
      <numFmt numFmtId="2" formatCode="0.00"/>
    </dxf>
    <dxf>
      <font>
        <b/>
        <color theme="1"/>
      </font>
      <border>
        <bottom style="thin">
          <color theme="4"/>
        </bottom>
        <vertical/>
        <horizontal/>
      </border>
    </dxf>
    <dxf>
      <font>
        <strike val="0"/>
        <color theme="1"/>
      </font>
      <border diagonalUp="0" diagonalDown="0">
        <left/>
        <right/>
        <top/>
        <bottom/>
        <vertical/>
        <horizontal/>
      </border>
    </dxf>
  </dxfs>
  <tableStyles count="1" defaultTableStyle="TableStyleMedium2" defaultPivotStyle="PivotStyleLight16">
    <tableStyle name="SlicerStyleLight1 2" pivot="0" table="0" count="10" xr9:uid="{F419A363-F849-4BCD-AFB5-B437FA6726BF}">
      <tableStyleElement type="wholeTable" dxfId="331"/>
      <tableStyleElement type="headerRow" dxfId="33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[Dashbord.xlsx]Pivot_Tab!PivotTable4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15297906602248E-3"/>
          <c:y val="0.18699191480825048"/>
          <c:w val="0.99194847020933974"/>
          <c:h val="0.8130080851917495"/>
        </c:manualLayout>
      </c:layout>
      <c:areaChart>
        <c:grouping val="standard"/>
        <c:varyColors val="0"/>
        <c:ser>
          <c:idx val="0"/>
          <c:order val="0"/>
          <c:tx>
            <c:strRef>
              <c:f>Pivot_Tab!$D$3</c:f>
              <c:strCache>
                <c:ptCount val="1"/>
                <c:pt idx="0">
                  <c:v>Total</c:v>
                </c:pt>
              </c:strCache>
            </c:strRef>
          </c:tx>
          <c:spPr>
            <a:solidFill>
              <a:schemeClr val="accent1"/>
            </a:solidFill>
            <a:ln w="25400">
              <a:noFill/>
            </a:ln>
            <a:effectLst/>
          </c:spPr>
          <c:cat>
            <c:strRef>
              <c:f>Pivot_Tab!$C$4:$C$13</c:f>
              <c:strCache>
                <c:ptCount val="9"/>
                <c:pt idx="0">
                  <c:v>2/4/2023</c:v>
                </c:pt>
                <c:pt idx="1">
                  <c:v>2/5/2023</c:v>
                </c:pt>
                <c:pt idx="2">
                  <c:v>2/6/2023</c:v>
                </c:pt>
                <c:pt idx="3">
                  <c:v>2/7/2023</c:v>
                </c:pt>
                <c:pt idx="4">
                  <c:v>2/8/2023</c:v>
                </c:pt>
                <c:pt idx="5">
                  <c:v>2/9/2023</c:v>
                </c:pt>
                <c:pt idx="6">
                  <c:v>2/10/2023</c:v>
                </c:pt>
                <c:pt idx="7">
                  <c:v>2/11/2023</c:v>
                </c:pt>
                <c:pt idx="8">
                  <c:v>2/12/2023</c:v>
                </c:pt>
              </c:strCache>
            </c:strRef>
          </c:cat>
          <c:val>
            <c:numRef>
              <c:f>Pivot_Tab!$D$4:$D$13</c:f>
              <c:numCache>
                <c:formatCode>General</c:formatCode>
                <c:ptCount val="9"/>
                <c:pt idx="0">
                  <c:v>13</c:v>
                </c:pt>
                <c:pt idx="1">
                  <c:v>16</c:v>
                </c:pt>
                <c:pt idx="2">
                  <c:v>17</c:v>
                </c:pt>
                <c:pt idx="3">
                  <c:v>9</c:v>
                </c:pt>
                <c:pt idx="4">
                  <c:v>15</c:v>
                </c:pt>
                <c:pt idx="5">
                  <c:v>18</c:v>
                </c:pt>
                <c:pt idx="6">
                  <c:v>14</c:v>
                </c:pt>
                <c:pt idx="7">
                  <c:v>12</c:v>
                </c:pt>
                <c:pt idx="8">
                  <c:v>15</c:v>
                </c:pt>
              </c:numCache>
            </c:numRef>
          </c:val>
          <c:extLst>
            <c:ext xmlns:c16="http://schemas.microsoft.com/office/drawing/2014/chart" uri="{C3380CC4-5D6E-409C-BE32-E72D297353CC}">
              <c16:uniqueId val="{00000004-74C1-43C9-AF20-7178B30EC3DA}"/>
            </c:ext>
          </c:extLst>
        </c:ser>
        <c:dLbls>
          <c:showLegendKey val="0"/>
          <c:showVal val="0"/>
          <c:showCatName val="0"/>
          <c:showSerName val="0"/>
          <c:showPercent val="0"/>
          <c:showBubbleSize val="0"/>
        </c:dLbls>
        <c:axId val="1886942271"/>
        <c:axId val="1886922111"/>
      </c:areaChart>
      <c:catAx>
        <c:axId val="1886942271"/>
        <c:scaling>
          <c:orientation val="minMax"/>
        </c:scaling>
        <c:delete val="1"/>
        <c:axPos val="b"/>
        <c:numFmt formatCode="General" sourceLinked="1"/>
        <c:majorTickMark val="out"/>
        <c:minorTickMark val="none"/>
        <c:tickLblPos val="nextTo"/>
        <c:crossAx val="1886922111"/>
        <c:crosses val="autoZero"/>
        <c:auto val="1"/>
        <c:lblAlgn val="ctr"/>
        <c:lblOffset val="100"/>
        <c:noMultiLvlLbl val="0"/>
      </c:catAx>
      <c:valAx>
        <c:axId val="1886922111"/>
        <c:scaling>
          <c:orientation val="minMax"/>
        </c:scaling>
        <c:delete val="1"/>
        <c:axPos val="l"/>
        <c:numFmt formatCode="General" sourceLinked="1"/>
        <c:majorTickMark val="none"/>
        <c:minorTickMark val="none"/>
        <c:tickLblPos val="nextTo"/>
        <c:crossAx val="18869422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[Dashbord.xlsx]Pivot_Tab!PivotTable7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37511771768569E-2"/>
          <c:y val="5.5482457098398552E-2"/>
          <c:w val="0.96776248822823141"/>
          <c:h val="0.9394736831653836"/>
        </c:manualLayout>
      </c:layout>
      <c:areaChart>
        <c:grouping val="standard"/>
        <c:varyColors val="0"/>
        <c:ser>
          <c:idx val="0"/>
          <c:order val="0"/>
          <c:tx>
            <c:strRef>
              <c:f>Pivot_Tab!$G$3</c:f>
              <c:strCache>
                <c:ptCount val="1"/>
                <c:pt idx="0">
                  <c:v>Total</c:v>
                </c:pt>
              </c:strCache>
            </c:strRef>
          </c:tx>
          <c:spPr>
            <a:solidFill>
              <a:schemeClr val="accent1"/>
            </a:solidFill>
            <a:ln w="25400">
              <a:noFill/>
            </a:ln>
            <a:effectLst/>
          </c:spPr>
          <c:cat>
            <c:strRef>
              <c:f>Pivot_Tab!$F$4:$F$13</c:f>
              <c:strCache>
                <c:ptCount val="9"/>
                <c:pt idx="0">
                  <c:v>2/4/2023</c:v>
                </c:pt>
                <c:pt idx="1">
                  <c:v>2/5/2023</c:v>
                </c:pt>
                <c:pt idx="2">
                  <c:v>2/6/2023</c:v>
                </c:pt>
                <c:pt idx="3">
                  <c:v>2/7/2023</c:v>
                </c:pt>
                <c:pt idx="4">
                  <c:v>2/8/2023</c:v>
                </c:pt>
                <c:pt idx="5">
                  <c:v>2/9/2023</c:v>
                </c:pt>
                <c:pt idx="6">
                  <c:v>2/10/2023</c:v>
                </c:pt>
                <c:pt idx="7">
                  <c:v>2/11/2023</c:v>
                </c:pt>
                <c:pt idx="8">
                  <c:v>2/12/2023</c:v>
                </c:pt>
              </c:strCache>
            </c:strRef>
          </c:cat>
          <c:val>
            <c:numRef>
              <c:f>Pivot_Tab!$G$4:$G$13</c:f>
              <c:numCache>
                <c:formatCode>General</c:formatCode>
                <c:ptCount val="9"/>
                <c:pt idx="0">
                  <c:v>383</c:v>
                </c:pt>
                <c:pt idx="1">
                  <c:v>548</c:v>
                </c:pt>
                <c:pt idx="2">
                  <c:v>594</c:v>
                </c:pt>
                <c:pt idx="3">
                  <c:v>292</c:v>
                </c:pt>
                <c:pt idx="4">
                  <c:v>578</c:v>
                </c:pt>
                <c:pt idx="5">
                  <c:v>626</c:v>
                </c:pt>
                <c:pt idx="6">
                  <c:v>467</c:v>
                </c:pt>
                <c:pt idx="7">
                  <c:v>347</c:v>
                </c:pt>
                <c:pt idx="8">
                  <c:v>531</c:v>
                </c:pt>
              </c:numCache>
            </c:numRef>
          </c:val>
          <c:extLst>
            <c:ext xmlns:c16="http://schemas.microsoft.com/office/drawing/2014/chart" uri="{C3380CC4-5D6E-409C-BE32-E72D297353CC}">
              <c16:uniqueId val="{00000004-C65D-4FA2-89B2-CCB88651AA32}"/>
            </c:ext>
          </c:extLst>
        </c:ser>
        <c:dLbls>
          <c:showLegendKey val="0"/>
          <c:showVal val="0"/>
          <c:showCatName val="0"/>
          <c:showSerName val="0"/>
          <c:showPercent val="0"/>
          <c:showBubbleSize val="0"/>
        </c:dLbls>
        <c:axId val="1886957151"/>
        <c:axId val="1886948031"/>
      </c:areaChart>
      <c:catAx>
        <c:axId val="1886957151"/>
        <c:scaling>
          <c:orientation val="minMax"/>
        </c:scaling>
        <c:delete val="1"/>
        <c:axPos val="b"/>
        <c:numFmt formatCode="General" sourceLinked="1"/>
        <c:majorTickMark val="out"/>
        <c:minorTickMark val="none"/>
        <c:tickLblPos val="nextTo"/>
        <c:crossAx val="1886948031"/>
        <c:crosses val="autoZero"/>
        <c:auto val="1"/>
        <c:lblAlgn val="ctr"/>
        <c:lblOffset val="100"/>
        <c:noMultiLvlLbl val="0"/>
      </c:catAx>
      <c:valAx>
        <c:axId val="1886948031"/>
        <c:scaling>
          <c:orientation val="minMax"/>
        </c:scaling>
        <c:delete val="1"/>
        <c:axPos val="l"/>
        <c:numFmt formatCode="General" sourceLinked="1"/>
        <c:majorTickMark val="none"/>
        <c:minorTickMark val="none"/>
        <c:tickLblPos val="nextTo"/>
        <c:crossAx val="18869571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[Dashbord.xlsx]Pivot_Tab!PivotTable8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61919025836504E-3"/>
          <c:y val="7.7228273398038505E-2"/>
          <c:w val="0.99252761619483254"/>
          <c:h val="0.9227717266019615"/>
        </c:manualLayout>
      </c:layout>
      <c:areaChart>
        <c:grouping val="standard"/>
        <c:varyColors val="0"/>
        <c:ser>
          <c:idx val="0"/>
          <c:order val="0"/>
          <c:tx>
            <c:strRef>
              <c:f>Pivot_Tab!$K$3</c:f>
              <c:strCache>
                <c:ptCount val="1"/>
                <c:pt idx="0">
                  <c:v>Total</c:v>
                </c:pt>
              </c:strCache>
            </c:strRef>
          </c:tx>
          <c:spPr>
            <a:solidFill>
              <a:schemeClr val="accent1"/>
            </a:solidFill>
            <a:ln w="25400">
              <a:noFill/>
            </a:ln>
            <a:effectLst/>
          </c:spPr>
          <c:cat>
            <c:strRef>
              <c:f>Pivot_Tab!$J$4:$J$13</c:f>
              <c:strCache>
                <c:ptCount val="9"/>
                <c:pt idx="0">
                  <c:v>2/4/2023</c:v>
                </c:pt>
                <c:pt idx="1">
                  <c:v>2/5/2023</c:v>
                </c:pt>
                <c:pt idx="2">
                  <c:v>2/6/2023</c:v>
                </c:pt>
                <c:pt idx="3">
                  <c:v>2/7/2023</c:v>
                </c:pt>
                <c:pt idx="4">
                  <c:v>2/8/2023</c:v>
                </c:pt>
                <c:pt idx="5">
                  <c:v>2/9/2023</c:v>
                </c:pt>
                <c:pt idx="6">
                  <c:v>2/10/2023</c:v>
                </c:pt>
                <c:pt idx="7">
                  <c:v>2/11/2023</c:v>
                </c:pt>
                <c:pt idx="8">
                  <c:v>2/12/2023</c:v>
                </c:pt>
              </c:strCache>
            </c:strRef>
          </c:cat>
          <c:val>
            <c:numRef>
              <c:f>Pivot_Tab!$K$4:$K$13</c:f>
              <c:numCache>
                <c:formatCode>General</c:formatCode>
                <c:ptCount val="9"/>
                <c:pt idx="0">
                  <c:v>31</c:v>
                </c:pt>
                <c:pt idx="1">
                  <c:v>20</c:v>
                </c:pt>
                <c:pt idx="2">
                  <c:v>32</c:v>
                </c:pt>
                <c:pt idx="3">
                  <c:v>13</c:v>
                </c:pt>
                <c:pt idx="4">
                  <c:v>12</c:v>
                </c:pt>
                <c:pt idx="5">
                  <c:v>29</c:v>
                </c:pt>
                <c:pt idx="6">
                  <c:v>19</c:v>
                </c:pt>
                <c:pt idx="7">
                  <c:v>28</c:v>
                </c:pt>
                <c:pt idx="8">
                  <c:v>22</c:v>
                </c:pt>
              </c:numCache>
            </c:numRef>
          </c:val>
          <c:extLst>
            <c:ext xmlns:c16="http://schemas.microsoft.com/office/drawing/2014/chart" uri="{C3380CC4-5D6E-409C-BE32-E72D297353CC}">
              <c16:uniqueId val="{00000004-69A2-4358-8EE8-61AF5D002033}"/>
            </c:ext>
          </c:extLst>
        </c:ser>
        <c:dLbls>
          <c:showLegendKey val="0"/>
          <c:showVal val="0"/>
          <c:showCatName val="0"/>
          <c:showSerName val="0"/>
          <c:showPercent val="0"/>
          <c:showBubbleSize val="0"/>
        </c:dLbls>
        <c:axId val="1886980191"/>
        <c:axId val="1886996991"/>
      </c:areaChart>
      <c:catAx>
        <c:axId val="1886980191"/>
        <c:scaling>
          <c:orientation val="minMax"/>
        </c:scaling>
        <c:delete val="1"/>
        <c:axPos val="b"/>
        <c:numFmt formatCode="General" sourceLinked="1"/>
        <c:majorTickMark val="out"/>
        <c:minorTickMark val="none"/>
        <c:tickLblPos val="nextTo"/>
        <c:crossAx val="1886996991"/>
        <c:crosses val="autoZero"/>
        <c:auto val="1"/>
        <c:lblAlgn val="ctr"/>
        <c:lblOffset val="100"/>
        <c:noMultiLvlLbl val="0"/>
      </c:catAx>
      <c:valAx>
        <c:axId val="1886996991"/>
        <c:scaling>
          <c:orientation val="minMax"/>
        </c:scaling>
        <c:delete val="1"/>
        <c:axPos val="l"/>
        <c:numFmt formatCode="General" sourceLinked="1"/>
        <c:majorTickMark val="none"/>
        <c:minorTickMark val="none"/>
        <c:tickLblPos val="nextTo"/>
        <c:crossAx val="1886980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[Dashbord.xlsx]Pivot_Tab!PivotTable10</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CBAC2D-EF15-47B0-BAA7-53CF8369579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71EC02-BE24-485B-AF13-7C0DD4AF764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BCC27D8-FDB5-4FF3-A74C-46AD4119854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BE1D59-4481-42B2-9EE1-A2BE6FE8FA1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s>
    <c:plotArea>
      <c:layout/>
      <c:barChart>
        <c:barDir val="bar"/>
        <c:grouping val="clustered"/>
        <c:varyColors val="0"/>
        <c:ser>
          <c:idx val="0"/>
          <c:order val="0"/>
          <c:tx>
            <c:strRef>
              <c:f>Pivot_Tab!$B$29</c:f>
              <c:strCache>
                <c:ptCount val="1"/>
                <c:pt idx="0">
                  <c:v>Count of Patient Admission Flag</c:v>
                </c:pt>
              </c:strCache>
            </c:strRef>
          </c:tx>
          <c:spPr>
            <a:solidFill>
              <a:schemeClr val="accent1"/>
            </a:solidFill>
            <a:ln>
              <a:noFill/>
            </a:ln>
            <a:effectLst/>
          </c:spPr>
          <c:invertIfNegative val="0"/>
          <c:cat>
            <c:strRef>
              <c:f>Pivot_Tab!$A$30:$A$32</c:f>
              <c:strCache>
                <c:ptCount val="2"/>
                <c:pt idx="0">
                  <c:v>Admission</c:v>
                </c:pt>
                <c:pt idx="1">
                  <c:v>Not Admission</c:v>
                </c:pt>
              </c:strCache>
            </c:strRef>
          </c:cat>
          <c:val>
            <c:numRef>
              <c:f>Pivot_Tab!$B$30:$B$32</c:f>
              <c:numCache>
                <c:formatCode>0.0</c:formatCode>
                <c:ptCount val="2"/>
                <c:pt idx="0">
                  <c:v>64</c:v>
                </c:pt>
                <c:pt idx="1">
                  <c:v>65</c:v>
                </c:pt>
              </c:numCache>
            </c:numRef>
          </c:val>
          <c:extLst>
            <c:ext xmlns:c16="http://schemas.microsoft.com/office/drawing/2014/chart" uri="{C3380CC4-5D6E-409C-BE32-E72D297353CC}">
              <c16:uniqueId val="{00000007-8710-456C-8D93-FAAFCCE79DA0}"/>
            </c:ext>
          </c:extLst>
        </c:ser>
        <c:ser>
          <c:idx val="1"/>
          <c:order val="1"/>
          <c:tx>
            <c:strRef>
              <c:f>Pivot_Tab!$C$29</c:f>
              <c:strCache>
                <c:ptCount val="1"/>
                <c:pt idx="0">
                  <c:v>Count of Patient Admission Flag2</c:v>
                </c:pt>
              </c:strCache>
            </c:strRef>
          </c:tx>
          <c:spPr>
            <a:solidFill>
              <a:schemeClr val="accent2"/>
            </a:solidFill>
            <a:ln>
              <a:noFill/>
            </a:ln>
            <a:effectLst/>
          </c:spPr>
          <c:invertIfNegative val="0"/>
          <c:cat>
            <c:strRef>
              <c:f>Pivot_Tab!$A$30:$A$32</c:f>
              <c:strCache>
                <c:ptCount val="2"/>
                <c:pt idx="0">
                  <c:v>Admission</c:v>
                </c:pt>
                <c:pt idx="1">
                  <c:v>Not Admission</c:v>
                </c:pt>
              </c:strCache>
            </c:strRef>
          </c:cat>
          <c:val>
            <c:numRef>
              <c:f>Pivot_Tab!$C$30:$C$32</c:f>
              <c:numCache>
                <c:formatCode>0.00%</c:formatCode>
                <c:ptCount val="2"/>
                <c:pt idx="0">
                  <c:v>0.49612403100775193</c:v>
                </c:pt>
                <c:pt idx="1">
                  <c:v>0.50387596899224807</c:v>
                </c:pt>
              </c:numCache>
            </c:numRef>
          </c:val>
          <c:extLst>
            <c:ext xmlns:c16="http://schemas.microsoft.com/office/drawing/2014/chart" uri="{C3380CC4-5D6E-409C-BE32-E72D297353CC}">
              <c16:uniqueId val="{00000008-8710-456C-8D93-FAAFCCE79DA0}"/>
            </c:ext>
          </c:extLst>
        </c:ser>
        <c:dLbls>
          <c:showLegendKey val="0"/>
          <c:showVal val="0"/>
          <c:showCatName val="0"/>
          <c:showSerName val="0"/>
          <c:showPercent val="0"/>
          <c:showBubbleSize val="0"/>
        </c:dLbls>
        <c:gapWidth val="0"/>
        <c:overlap val="-100"/>
        <c:axId val="945894064"/>
        <c:axId val="945891664"/>
      </c:barChart>
      <c:catAx>
        <c:axId val="945894064"/>
        <c:scaling>
          <c:orientation val="minMax"/>
        </c:scaling>
        <c:delete val="1"/>
        <c:axPos val="l"/>
        <c:numFmt formatCode="General" sourceLinked="1"/>
        <c:majorTickMark val="none"/>
        <c:minorTickMark val="none"/>
        <c:tickLblPos val="nextTo"/>
        <c:crossAx val="945891664"/>
        <c:crosses val="autoZero"/>
        <c:auto val="1"/>
        <c:lblAlgn val="ctr"/>
        <c:lblOffset val="100"/>
        <c:noMultiLvlLbl val="0"/>
      </c:catAx>
      <c:valAx>
        <c:axId val="945891664"/>
        <c:scaling>
          <c:orientation val="minMax"/>
        </c:scaling>
        <c:delete val="1"/>
        <c:axPos val="b"/>
        <c:numFmt formatCode="0.0" sourceLinked="1"/>
        <c:majorTickMark val="none"/>
        <c:minorTickMark val="none"/>
        <c:tickLblPos val="nextTo"/>
        <c:crossAx val="94589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[Dashbord.xlsx]Pivot_Tab!PivotTable11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Pivot_Tab!$A$38:$A$46</c:f>
              <c:strCache>
                <c:ptCount val="8"/>
                <c:pt idx="0">
                  <c:v>0-09</c:v>
                </c:pt>
                <c:pt idx="1">
                  <c:v>10-19</c:v>
                </c:pt>
                <c:pt idx="2">
                  <c:v>20-29</c:v>
                </c:pt>
                <c:pt idx="3">
                  <c:v>30-39</c:v>
                </c:pt>
                <c:pt idx="4">
                  <c:v>40-49</c:v>
                </c:pt>
                <c:pt idx="5">
                  <c:v>50-59</c:v>
                </c:pt>
                <c:pt idx="6">
                  <c:v>60-69</c:v>
                </c:pt>
                <c:pt idx="7">
                  <c:v>70-79</c:v>
                </c:pt>
              </c:strCache>
            </c:strRef>
          </c:cat>
          <c:val>
            <c:numRef>
              <c:f>Pivot_Tab!$B$38:$B$46</c:f>
              <c:numCache>
                <c:formatCode>0.0</c:formatCode>
                <c:ptCount val="8"/>
                <c:pt idx="0">
                  <c:v>13</c:v>
                </c:pt>
                <c:pt idx="1">
                  <c:v>16</c:v>
                </c:pt>
                <c:pt idx="2">
                  <c:v>20</c:v>
                </c:pt>
                <c:pt idx="3">
                  <c:v>14</c:v>
                </c:pt>
                <c:pt idx="4">
                  <c:v>20</c:v>
                </c:pt>
                <c:pt idx="5">
                  <c:v>16</c:v>
                </c:pt>
                <c:pt idx="6">
                  <c:v>15</c:v>
                </c:pt>
                <c:pt idx="7">
                  <c:v>15</c:v>
                </c:pt>
              </c:numCache>
            </c:numRef>
          </c:val>
          <c:extLst>
            <c:ext xmlns:c16="http://schemas.microsoft.com/office/drawing/2014/chart" uri="{C3380CC4-5D6E-409C-BE32-E72D297353CC}">
              <c16:uniqueId val="{00000004-6B1B-4BEC-A493-A922A861594C}"/>
            </c:ext>
          </c:extLst>
        </c:ser>
        <c:dLbls>
          <c:dLblPos val="outEnd"/>
          <c:showLegendKey val="0"/>
          <c:showVal val="1"/>
          <c:showCatName val="0"/>
          <c:showSerName val="0"/>
          <c:showPercent val="0"/>
          <c:showBubbleSize val="0"/>
        </c:dLbls>
        <c:gapWidth val="80"/>
        <c:overlap val="-27"/>
        <c:axId val="259808512"/>
        <c:axId val="259810912"/>
      </c:barChart>
      <c:catAx>
        <c:axId val="259808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59810912"/>
        <c:crosses val="autoZero"/>
        <c:auto val="1"/>
        <c:lblAlgn val="ctr"/>
        <c:lblOffset val="100"/>
        <c:noMultiLvlLbl val="0"/>
      </c:catAx>
      <c:valAx>
        <c:axId val="259810912"/>
        <c:scaling>
          <c:orientation val="minMax"/>
        </c:scaling>
        <c:delete val="1"/>
        <c:axPos val="l"/>
        <c:numFmt formatCode="0.0" sourceLinked="1"/>
        <c:majorTickMark val="out"/>
        <c:minorTickMark val="none"/>
        <c:tickLblPos val="nextTo"/>
        <c:crossAx val="25980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[Dashbord.xlsx]Pivot_Tab!PivotTable13</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Pivot_Tab!$A$66:$A$74</c:f>
              <c:strCache>
                <c:ptCount val="8"/>
                <c:pt idx="0">
                  <c:v>طب الكلى</c:v>
                </c:pt>
                <c:pt idx="1">
                  <c:v>طب القلب</c:v>
                </c:pt>
                <c:pt idx="2">
                  <c:v>طب الأعصاب</c:v>
                </c:pt>
                <c:pt idx="3">
                  <c:v>العلاج الطبيعي</c:v>
                </c:pt>
                <c:pt idx="4">
                  <c:v>طب الجهاز الهضمي</c:v>
                </c:pt>
                <c:pt idx="5">
                  <c:v>جراحة عظام</c:v>
                </c:pt>
                <c:pt idx="6">
                  <c:v>الطب العام</c:v>
                </c:pt>
                <c:pt idx="7">
                  <c:v>مراجعة / مختبر</c:v>
                </c:pt>
              </c:strCache>
            </c:strRef>
          </c:cat>
          <c:val>
            <c:numRef>
              <c:f>Pivot_Tab!$B$66:$B$74</c:f>
              <c:numCache>
                <c:formatCode>0</c:formatCode>
                <c:ptCount val="8"/>
                <c:pt idx="0">
                  <c:v>2</c:v>
                </c:pt>
                <c:pt idx="1">
                  <c:v>2</c:v>
                </c:pt>
                <c:pt idx="2">
                  <c:v>3</c:v>
                </c:pt>
                <c:pt idx="3">
                  <c:v>5</c:v>
                </c:pt>
                <c:pt idx="4">
                  <c:v>6</c:v>
                </c:pt>
                <c:pt idx="5">
                  <c:v>11</c:v>
                </c:pt>
                <c:pt idx="6">
                  <c:v>27</c:v>
                </c:pt>
                <c:pt idx="7">
                  <c:v>73</c:v>
                </c:pt>
              </c:numCache>
            </c:numRef>
          </c:val>
          <c:extLst>
            <c:ext xmlns:c16="http://schemas.microsoft.com/office/drawing/2014/chart" uri="{C3380CC4-5D6E-409C-BE32-E72D297353CC}">
              <c16:uniqueId val="{00000004-B7FE-4D87-91B2-6ABBE334773B}"/>
            </c:ext>
          </c:extLst>
        </c:ser>
        <c:dLbls>
          <c:dLblPos val="outEnd"/>
          <c:showLegendKey val="0"/>
          <c:showVal val="1"/>
          <c:showCatName val="0"/>
          <c:showSerName val="0"/>
          <c:showPercent val="0"/>
          <c:showBubbleSize val="0"/>
        </c:dLbls>
        <c:gapWidth val="39"/>
        <c:axId val="944868720"/>
        <c:axId val="944869200"/>
      </c:barChart>
      <c:catAx>
        <c:axId val="944868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944869200"/>
        <c:crosses val="autoZero"/>
        <c:auto val="1"/>
        <c:lblAlgn val="ctr"/>
        <c:lblOffset val="100"/>
        <c:noMultiLvlLbl val="0"/>
      </c:catAx>
      <c:valAx>
        <c:axId val="944869200"/>
        <c:scaling>
          <c:orientation val="minMax"/>
        </c:scaling>
        <c:delete val="1"/>
        <c:axPos val="b"/>
        <c:numFmt formatCode="0" sourceLinked="1"/>
        <c:majorTickMark val="out"/>
        <c:minorTickMark val="none"/>
        <c:tickLblPos val="nextTo"/>
        <c:crossAx val="94486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[Dashbord.xlsx]Pivot_Tab!PivotTable15</c:name>
    <c:fmtId val="3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solidFill>
              <a:schemeClr val="accent1"/>
            </a:solid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Pivot_Tab!$B$78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anchor="ctr" anchorCtr="1"/>
              <a:lstStyle/>
              <a:p>
                <a:pPr>
                  <a:defRPr sz="900" b="1" i="0" u="none" strike="noStrike" kern="1200" baseline="0">
                    <a:ln>
                      <a:noFill/>
                    </a:ln>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Pivot_Tab!$A$79:$A$81</c:f>
              <c:strCache>
                <c:ptCount val="2"/>
                <c:pt idx="0">
                  <c:v>أنثى</c:v>
                </c:pt>
                <c:pt idx="1">
                  <c:v>ذكر</c:v>
                </c:pt>
              </c:strCache>
            </c:strRef>
          </c:cat>
          <c:val>
            <c:numRef>
              <c:f>Pivot_Tab!$B$79:$B$81</c:f>
              <c:numCache>
                <c:formatCode>0.0</c:formatCode>
                <c:ptCount val="2"/>
                <c:pt idx="0">
                  <c:v>59</c:v>
                </c:pt>
                <c:pt idx="1">
                  <c:v>70</c:v>
                </c:pt>
              </c:numCache>
            </c:numRef>
          </c:val>
          <c:extLst>
            <c:ext xmlns:c16="http://schemas.microsoft.com/office/drawing/2014/chart" uri="{C3380CC4-5D6E-409C-BE32-E72D297353CC}">
              <c16:uniqueId val="{00000008-398C-4298-8686-EDFB2DFD0BC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ln>
                  <a:noFill/>
                </a:ln>
                <a:solidFill>
                  <a:schemeClr val="tx1">
                    <a:lumMod val="65000"/>
                    <a:lumOff val="35000"/>
                  </a:schemeClr>
                </a:solidFill>
                <a:latin typeface="Calibr"/>
                <a:ea typeface="+mn-ea"/>
                <a:cs typeface="+mn-cs"/>
              </a:defRPr>
            </a:pPr>
            <a:endParaRPr lang="en-US"/>
          </a:p>
        </c:txPr>
      </c:legendEntry>
      <c:layout>
        <c:manualLayout>
          <c:xMode val="edge"/>
          <c:yMode val="edge"/>
          <c:x val="0.55018981283521118"/>
          <c:y val="0.32836105883344691"/>
          <c:w val="0.15328066342658053"/>
          <c:h val="0.41524949187090332"/>
        </c:manualLayout>
      </c:layout>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65000"/>
                  <a:lumOff val="35000"/>
                </a:schemeClr>
              </a:solidFill>
              <a:latin typeface="Calibr"/>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[Dashbord.xlsx]Pivot_Tab!PivotTable12</c:name>
    <c:fmtId val="2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694665048373581"/>
          <c:y val="9.8800070360375067E-2"/>
          <c:w val="0.35096253396663385"/>
          <c:h val="0.72337020351783743"/>
        </c:manualLayout>
      </c:layout>
      <c:doughnutChart>
        <c:varyColors val="1"/>
        <c:ser>
          <c:idx val="0"/>
          <c:order val="0"/>
          <c:tx>
            <c:strRef>
              <c:f>Pivot_Tab!$B$56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Pivot_Tab!$A$57:$A$59</c:f>
              <c:strCache>
                <c:ptCount val="2"/>
                <c:pt idx="0">
                  <c:v>غير متأخرين</c:v>
                </c:pt>
                <c:pt idx="1">
                  <c:v>متأخرين</c:v>
                </c:pt>
              </c:strCache>
            </c:strRef>
          </c:cat>
          <c:val>
            <c:numRef>
              <c:f>Pivot_Tab!$B$57:$B$59</c:f>
              <c:numCache>
                <c:formatCode>0.0</c:formatCode>
                <c:ptCount val="2"/>
                <c:pt idx="0">
                  <c:v>55</c:v>
                </c:pt>
                <c:pt idx="1">
                  <c:v>74</c:v>
                </c:pt>
              </c:numCache>
            </c:numRef>
          </c:val>
          <c:extLst>
            <c:ext xmlns:c16="http://schemas.microsoft.com/office/drawing/2014/chart" uri="{C3380CC4-5D6E-409C-BE32-E72D297353CC}">
              <c16:uniqueId val="{00000008-2875-4BAA-80C8-E0BA50546FA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alibr"/>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[Dashbord.xlsx]Pivot_Tab!PivotTable4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31964914642079E-2"/>
          <c:y val="1.5220700152207001E-2"/>
          <c:w val="0.92399625237846972"/>
          <c:h val="0.8894533731228802"/>
        </c:manualLayout>
      </c:layout>
      <c:areaChart>
        <c:grouping val="standard"/>
        <c:varyColors val="0"/>
        <c:ser>
          <c:idx val="0"/>
          <c:order val="0"/>
          <c:tx>
            <c:strRef>
              <c:f>Pivot_Tab!$D$3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Pivot_Tab!$C$4:$C$13</c:f>
              <c:strCache>
                <c:ptCount val="9"/>
                <c:pt idx="0">
                  <c:v>2/4/2023</c:v>
                </c:pt>
                <c:pt idx="1">
                  <c:v>2/5/2023</c:v>
                </c:pt>
                <c:pt idx="2">
                  <c:v>2/6/2023</c:v>
                </c:pt>
                <c:pt idx="3">
                  <c:v>2/7/2023</c:v>
                </c:pt>
                <c:pt idx="4">
                  <c:v>2/8/2023</c:v>
                </c:pt>
                <c:pt idx="5">
                  <c:v>2/9/2023</c:v>
                </c:pt>
                <c:pt idx="6">
                  <c:v>2/10/2023</c:v>
                </c:pt>
                <c:pt idx="7">
                  <c:v>2/11/2023</c:v>
                </c:pt>
                <c:pt idx="8">
                  <c:v>2/12/2023</c:v>
                </c:pt>
              </c:strCache>
            </c:strRef>
          </c:cat>
          <c:val>
            <c:numRef>
              <c:f>Pivot_Tab!$D$4:$D$13</c:f>
              <c:numCache>
                <c:formatCode>General</c:formatCode>
                <c:ptCount val="9"/>
                <c:pt idx="0">
                  <c:v>13</c:v>
                </c:pt>
                <c:pt idx="1">
                  <c:v>16</c:v>
                </c:pt>
                <c:pt idx="2">
                  <c:v>17</c:v>
                </c:pt>
                <c:pt idx="3">
                  <c:v>9</c:v>
                </c:pt>
                <c:pt idx="4">
                  <c:v>15</c:v>
                </c:pt>
                <c:pt idx="5">
                  <c:v>18</c:v>
                </c:pt>
                <c:pt idx="6">
                  <c:v>14</c:v>
                </c:pt>
                <c:pt idx="7">
                  <c:v>12</c:v>
                </c:pt>
                <c:pt idx="8">
                  <c:v>15</c:v>
                </c:pt>
              </c:numCache>
            </c:numRef>
          </c:val>
          <c:extLst>
            <c:ext xmlns:c16="http://schemas.microsoft.com/office/drawing/2014/chart" uri="{C3380CC4-5D6E-409C-BE32-E72D297353CC}">
              <c16:uniqueId val="{00000003-C1E3-48B1-BBD6-B31D235D00F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86942271"/>
        <c:axId val="1886922111"/>
      </c:areaChart>
      <c:catAx>
        <c:axId val="18869422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1" i="0" u="none" strike="noStrike" kern="1200" baseline="0">
                <a:solidFill>
                  <a:schemeClr val="lt1"/>
                </a:solidFill>
                <a:latin typeface="+mn-lt"/>
                <a:ea typeface="+mn-ea"/>
                <a:cs typeface="+mn-cs"/>
              </a:defRPr>
            </a:pPr>
            <a:endParaRPr lang="en-US"/>
          </a:p>
        </c:txPr>
        <c:crossAx val="1886922111"/>
        <c:crosses val="autoZero"/>
        <c:auto val="1"/>
        <c:lblAlgn val="ctr"/>
        <c:lblOffset val="100"/>
        <c:noMultiLvlLbl val="0"/>
      </c:catAx>
      <c:valAx>
        <c:axId val="1886922111"/>
        <c:scaling>
          <c:orientation val="minMax"/>
        </c:scaling>
        <c:delete val="1"/>
        <c:axPos val="l"/>
        <c:numFmt formatCode="General" sourceLinked="1"/>
        <c:majorTickMark val="out"/>
        <c:minorTickMark val="none"/>
        <c:tickLblPos val="nextTo"/>
        <c:crossAx val="18869422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[Dashbord.xlsx]Pivot_Tab!PivotTable7</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69179334588319E-2"/>
          <c:y val="4.2536736272235115E-2"/>
          <c:w val="0.9306054288201121"/>
          <c:h val="0.8677561186522218"/>
        </c:manualLayout>
      </c:layout>
      <c:areaChart>
        <c:grouping val="standard"/>
        <c:varyColors val="0"/>
        <c:ser>
          <c:idx val="0"/>
          <c:order val="0"/>
          <c:tx>
            <c:strRef>
              <c:f>Pivot_Tab!$G$3</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Pivot_Tab!$F$4:$F$13</c:f>
              <c:strCache>
                <c:ptCount val="9"/>
                <c:pt idx="0">
                  <c:v>2/4/2023</c:v>
                </c:pt>
                <c:pt idx="1">
                  <c:v>2/5/2023</c:v>
                </c:pt>
                <c:pt idx="2">
                  <c:v>2/6/2023</c:v>
                </c:pt>
                <c:pt idx="3">
                  <c:v>2/7/2023</c:v>
                </c:pt>
                <c:pt idx="4">
                  <c:v>2/8/2023</c:v>
                </c:pt>
                <c:pt idx="5">
                  <c:v>2/9/2023</c:v>
                </c:pt>
                <c:pt idx="6">
                  <c:v>2/10/2023</c:v>
                </c:pt>
                <c:pt idx="7">
                  <c:v>2/11/2023</c:v>
                </c:pt>
                <c:pt idx="8">
                  <c:v>2/12/2023</c:v>
                </c:pt>
              </c:strCache>
            </c:strRef>
          </c:cat>
          <c:val>
            <c:numRef>
              <c:f>Pivot_Tab!$G$4:$G$13</c:f>
              <c:numCache>
                <c:formatCode>General</c:formatCode>
                <c:ptCount val="9"/>
                <c:pt idx="0">
                  <c:v>383</c:v>
                </c:pt>
                <c:pt idx="1">
                  <c:v>548</c:v>
                </c:pt>
                <c:pt idx="2">
                  <c:v>594</c:v>
                </c:pt>
                <c:pt idx="3">
                  <c:v>292</c:v>
                </c:pt>
                <c:pt idx="4">
                  <c:v>578</c:v>
                </c:pt>
                <c:pt idx="5">
                  <c:v>626</c:v>
                </c:pt>
                <c:pt idx="6">
                  <c:v>467</c:v>
                </c:pt>
                <c:pt idx="7">
                  <c:v>347</c:v>
                </c:pt>
                <c:pt idx="8">
                  <c:v>531</c:v>
                </c:pt>
              </c:numCache>
            </c:numRef>
          </c:val>
          <c:extLst>
            <c:ext xmlns:c16="http://schemas.microsoft.com/office/drawing/2014/chart" uri="{C3380CC4-5D6E-409C-BE32-E72D297353CC}">
              <c16:uniqueId val="{00000003-CB8F-43A1-AFD7-33D933BE92CB}"/>
            </c:ext>
          </c:extLst>
        </c:ser>
        <c:dLbls>
          <c:showLegendKey val="0"/>
          <c:showVal val="1"/>
          <c:showCatName val="0"/>
          <c:showSerName val="0"/>
          <c:showPercent val="0"/>
          <c:showBubbleSize val="0"/>
        </c:dLbls>
        <c:axId val="1886957151"/>
        <c:axId val="1886948031"/>
      </c:areaChart>
      <c:catAx>
        <c:axId val="188695715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1" i="0" u="none" strike="noStrike" kern="1200" cap="all" baseline="0">
                <a:solidFill>
                  <a:schemeClr val="dk1">
                    <a:lumMod val="75000"/>
                    <a:lumOff val="25000"/>
                  </a:schemeClr>
                </a:solidFill>
                <a:latin typeface="+mn-lt"/>
                <a:ea typeface="+mn-ea"/>
                <a:cs typeface="+mn-cs"/>
              </a:defRPr>
            </a:pPr>
            <a:endParaRPr lang="en-US"/>
          </a:p>
        </c:txPr>
        <c:crossAx val="1886948031"/>
        <c:crosses val="autoZero"/>
        <c:auto val="1"/>
        <c:lblAlgn val="ctr"/>
        <c:lblOffset val="100"/>
        <c:noMultiLvlLbl val="0"/>
      </c:catAx>
      <c:valAx>
        <c:axId val="18869480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crossAx val="18869571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[Dashbord.xlsx]Pivot_Tab!PivotTable8</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69179334588319E-2"/>
          <c:y val="7.407407407407407E-2"/>
          <c:w val="0.9306054288201121"/>
          <c:h val="0.7293237824438612"/>
        </c:manualLayout>
      </c:layout>
      <c:areaChart>
        <c:grouping val="standard"/>
        <c:varyColors val="0"/>
        <c:ser>
          <c:idx val="0"/>
          <c:order val="0"/>
          <c:tx>
            <c:strRef>
              <c:f>Pivot_Tab!$K$3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Pivot_Tab!$J$4:$J$13</c:f>
              <c:strCache>
                <c:ptCount val="9"/>
                <c:pt idx="0">
                  <c:v>2/4/2023</c:v>
                </c:pt>
                <c:pt idx="1">
                  <c:v>2/5/2023</c:v>
                </c:pt>
                <c:pt idx="2">
                  <c:v>2/6/2023</c:v>
                </c:pt>
                <c:pt idx="3">
                  <c:v>2/7/2023</c:v>
                </c:pt>
                <c:pt idx="4">
                  <c:v>2/8/2023</c:v>
                </c:pt>
                <c:pt idx="5">
                  <c:v>2/9/2023</c:v>
                </c:pt>
                <c:pt idx="6">
                  <c:v>2/10/2023</c:v>
                </c:pt>
                <c:pt idx="7">
                  <c:v>2/11/2023</c:v>
                </c:pt>
                <c:pt idx="8">
                  <c:v>2/12/2023</c:v>
                </c:pt>
              </c:strCache>
            </c:strRef>
          </c:cat>
          <c:val>
            <c:numRef>
              <c:f>Pivot_Tab!$K$4:$K$13</c:f>
              <c:numCache>
                <c:formatCode>General</c:formatCode>
                <c:ptCount val="9"/>
                <c:pt idx="0">
                  <c:v>31</c:v>
                </c:pt>
                <c:pt idx="1">
                  <c:v>20</c:v>
                </c:pt>
                <c:pt idx="2">
                  <c:v>32</c:v>
                </c:pt>
                <c:pt idx="3">
                  <c:v>13</c:v>
                </c:pt>
                <c:pt idx="4">
                  <c:v>12</c:v>
                </c:pt>
                <c:pt idx="5">
                  <c:v>29</c:v>
                </c:pt>
                <c:pt idx="6">
                  <c:v>19</c:v>
                </c:pt>
                <c:pt idx="7">
                  <c:v>28</c:v>
                </c:pt>
                <c:pt idx="8">
                  <c:v>22</c:v>
                </c:pt>
              </c:numCache>
            </c:numRef>
          </c:val>
          <c:extLst>
            <c:ext xmlns:c16="http://schemas.microsoft.com/office/drawing/2014/chart" uri="{C3380CC4-5D6E-409C-BE32-E72D297353CC}">
              <c16:uniqueId val="{00000003-3FEF-4CBA-BBD7-2307D9CADA57}"/>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886980191"/>
        <c:axId val="1886996991"/>
      </c:areaChart>
      <c:catAx>
        <c:axId val="188698019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US"/>
          </a:p>
        </c:txPr>
        <c:crossAx val="1886996991"/>
        <c:crosses val="autoZero"/>
        <c:auto val="1"/>
        <c:lblAlgn val="ctr"/>
        <c:lblOffset val="100"/>
        <c:noMultiLvlLbl val="0"/>
      </c:catAx>
      <c:valAx>
        <c:axId val="1886996991"/>
        <c:scaling>
          <c:orientation val="minMax"/>
        </c:scaling>
        <c:delete val="1"/>
        <c:axPos val="l"/>
        <c:numFmt formatCode="General" sourceLinked="1"/>
        <c:majorTickMark val="out"/>
        <c:minorTickMark val="none"/>
        <c:tickLblPos val="nextTo"/>
        <c:crossAx val="1886980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g Waittime'!A1"/><Relationship Id="rId17"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xml"/><Relationship Id="rId5" Type="http://schemas.openxmlformats.org/officeDocument/2006/relationships/image" Target="../media/image5.svg"/><Relationship Id="rId15" Type="http://schemas.openxmlformats.org/officeDocument/2006/relationships/chart" Target="../charts/chart3.xml"/><Relationship Id="rId10" Type="http://schemas.openxmlformats.org/officeDocument/2006/relationships/hyperlink" Target="#'No off Patient'!A1"/><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hyperlink" Target="#'Average review'!A1"/></Relationships>
</file>

<file path=xl/drawings/_rels/drawing3.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6</xdr:col>
      <xdr:colOff>894806</xdr:colOff>
      <xdr:row>27</xdr:row>
      <xdr:rowOff>76200</xdr:rowOff>
    </xdr:from>
    <xdr:to>
      <xdr:col>8</xdr:col>
      <xdr:colOff>441960</xdr:colOff>
      <xdr:row>50</xdr:row>
      <xdr:rowOff>122464</xdr:rowOff>
    </xdr:to>
    <mc:AlternateContent xmlns:mc="http://schemas.openxmlformats.org/markup-compatibility/2006">
      <mc:Choice xmlns:a14="http://schemas.microsoft.com/office/drawing/2010/main" Requires="a14">
        <xdr:graphicFrame macro="">
          <xdr:nvGraphicFramePr>
            <xdr:cNvPr id="2" name="Date (Month)">
              <a:extLst>
                <a:ext uri="{FF2B5EF4-FFF2-40B4-BE49-F238E27FC236}">
                  <a16:creationId xmlns:a16="http://schemas.microsoft.com/office/drawing/2014/main" id="{0CFBEED9-37F7-6C9C-FC55-A8B3B0C69F3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0351770" y="5219700"/>
              <a:ext cx="1833154" cy="4427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365760</xdr:colOff>
      <xdr:row>80</xdr:row>
      <xdr:rowOff>144780</xdr:rowOff>
    </xdr:from>
    <xdr:to>
      <xdr:col>6</xdr:col>
      <xdr:colOff>723900</xdr:colOff>
      <xdr:row>94</xdr:row>
      <xdr:rowOff>51435</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41E9661A-9CD4-1D19-8721-EE58C92A5A9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680960" y="14775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502920</xdr:colOff>
      <xdr:row>19</xdr:row>
      <xdr:rowOff>163286</xdr:rowOff>
    </xdr:from>
    <xdr:to>
      <xdr:col>16</xdr:col>
      <xdr:colOff>499110</xdr:colOff>
      <xdr:row>25</xdr:row>
      <xdr:rowOff>84364</xdr:rowOff>
    </xdr:to>
    <mc:AlternateContent xmlns:mc="http://schemas.openxmlformats.org/markup-compatibility/2006">
      <mc:Choice xmlns:a14="http://schemas.microsoft.com/office/drawing/2010/main" Requires="a14">
        <xdr:graphicFrame macro="">
          <xdr:nvGraphicFramePr>
            <xdr:cNvPr id="3" name="Date (Month) 2">
              <a:extLst>
                <a:ext uri="{FF2B5EF4-FFF2-40B4-BE49-F238E27FC236}">
                  <a16:creationId xmlns:a16="http://schemas.microsoft.com/office/drawing/2014/main" id="{7858BB47-0048-4976-9A69-A25CE22338D8}"/>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dr:sp macro="" textlink="">
          <xdr:nvSpPr>
            <xdr:cNvPr id="0" name=""/>
            <xdr:cNvSpPr>
              <a:spLocks noTextEdit="1"/>
            </xdr:cNvSpPr>
          </xdr:nvSpPr>
          <xdr:spPr>
            <a:xfrm>
              <a:off x="16885920" y="3782786"/>
              <a:ext cx="1833154" cy="1064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72889</xdr:colOff>
      <xdr:row>11</xdr:row>
      <xdr:rowOff>158077</xdr:rowOff>
    </xdr:from>
    <xdr:to>
      <xdr:col>3</xdr:col>
      <xdr:colOff>539931</xdr:colOff>
      <xdr:row>21</xdr:row>
      <xdr:rowOff>92764</xdr:rowOff>
    </xdr:to>
    <xdr:sp macro="" textlink="">
      <xdr:nvSpPr>
        <xdr:cNvPr id="2" name="Rectangle 1">
          <a:extLst>
            <a:ext uri="{FF2B5EF4-FFF2-40B4-BE49-F238E27FC236}">
              <a16:creationId xmlns:a16="http://schemas.microsoft.com/office/drawing/2014/main" id="{1A07D416-BCCC-4D2B-B3F4-39017D99270A}"/>
            </a:ext>
          </a:extLst>
        </xdr:cNvPr>
        <xdr:cNvSpPr/>
      </xdr:nvSpPr>
      <xdr:spPr>
        <a:xfrm>
          <a:off x="72889" y="2169757"/>
          <a:ext cx="2295842" cy="1763487"/>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65267</xdr:colOff>
      <xdr:row>0</xdr:row>
      <xdr:rowOff>55652</xdr:rowOff>
    </xdr:from>
    <xdr:to>
      <xdr:col>3</xdr:col>
      <xdr:colOff>550985</xdr:colOff>
      <xdr:row>5</xdr:row>
      <xdr:rowOff>151445</xdr:rowOff>
    </xdr:to>
    <xdr:sp macro="" textlink="">
      <xdr:nvSpPr>
        <xdr:cNvPr id="3" name="Rectangle 2">
          <a:extLst>
            <a:ext uri="{FF2B5EF4-FFF2-40B4-BE49-F238E27FC236}">
              <a16:creationId xmlns:a16="http://schemas.microsoft.com/office/drawing/2014/main" id="{D00BB87B-3C63-4A7C-9BF0-529142F04938}"/>
            </a:ext>
          </a:extLst>
        </xdr:cNvPr>
        <xdr:cNvSpPr/>
      </xdr:nvSpPr>
      <xdr:spPr>
        <a:xfrm>
          <a:off x="65267" y="55652"/>
          <a:ext cx="2314518" cy="100066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p>
      </xdr:txBody>
    </xdr:sp>
    <xdr:clientData/>
  </xdr:twoCellAnchor>
  <xdr:twoCellAnchor>
    <xdr:from>
      <xdr:col>3</xdr:col>
      <xdr:colOff>576470</xdr:colOff>
      <xdr:row>11</xdr:row>
      <xdr:rowOff>165652</xdr:rowOff>
    </xdr:from>
    <xdr:to>
      <xdr:col>11</xdr:col>
      <xdr:colOff>452415</xdr:colOff>
      <xdr:row>21</xdr:row>
      <xdr:rowOff>106018</xdr:rowOff>
    </xdr:to>
    <xdr:sp macro="" textlink="">
      <xdr:nvSpPr>
        <xdr:cNvPr id="5" name="Rectangle 4">
          <a:extLst>
            <a:ext uri="{FF2B5EF4-FFF2-40B4-BE49-F238E27FC236}">
              <a16:creationId xmlns:a16="http://schemas.microsoft.com/office/drawing/2014/main" id="{264D4AEC-5F52-4027-93AA-7B6EC892DA85}"/>
            </a:ext>
          </a:extLst>
        </xdr:cNvPr>
        <xdr:cNvSpPr/>
      </xdr:nvSpPr>
      <xdr:spPr>
        <a:xfrm>
          <a:off x="2405270" y="2206487"/>
          <a:ext cx="4752745" cy="179567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572116</xdr:colOff>
      <xdr:row>8</xdr:row>
      <xdr:rowOff>43543</xdr:rowOff>
    </xdr:from>
    <xdr:to>
      <xdr:col>11</xdr:col>
      <xdr:colOff>456475</xdr:colOff>
      <xdr:row>11</xdr:row>
      <xdr:rowOff>132523</xdr:rowOff>
    </xdr:to>
    <xdr:sp macro="" textlink="">
      <xdr:nvSpPr>
        <xdr:cNvPr id="6" name="Rectangle 5">
          <a:extLst>
            <a:ext uri="{FF2B5EF4-FFF2-40B4-BE49-F238E27FC236}">
              <a16:creationId xmlns:a16="http://schemas.microsoft.com/office/drawing/2014/main" id="{96DB93E9-D858-4C47-9C6E-398E0C67A696}"/>
            </a:ext>
          </a:extLst>
        </xdr:cNvPr>
        <xdr:cNvSpPr/>
      </xdr:nvSpPr>
      <xdr:spPr>
        <a:xfrm>
          <a:off x="2400916" y="1527786"/>
          <a:ext cx="4761159" cy="64557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576470</xdr:colOff>
      <xdr:row>3</xdr:row>
      <xdr:rowOff>47471</xdr:rowOff>
    </xdr:from>
    <xdr:to>
      <xdr:col>6</xdr:col>
      <xdr:colOff>324678</xdr:colOff>
      <xdr:row>8</xdr:row>
      <xdr:rowOff>1090</xdr:rowOff>
    </xdr:to>
    <xdr:sp macro="" textlink="">
      <xdr:nvSpPr>
        <xdr:cNvPr id="7" name="Rectangle 6">
          <a:extLst>
            <a:ext uri="{FF2B5EF4-FFF2-40B4-BE49-F238E27FC236}">
              <a16:creationId xmlns:a16="http://schemas.microsoft.com/office/drawing/2014/main" id="{C9D8547F-8457-4610-A4D1-C7C0B04D464A}"/>
            </a:ext>
          </a:extLst>
        </xdr:cNvPr>
        <xdr:cNvSpPr/>
      </xdr:nvSpPr>
      <xdr:spPr>
        <a:xfrm>
          <a:off x="2405270" y="596111"/>
          <a:ext cx="1577008" cy="868019"/>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377688</xdr:colOff>
      <xdr:row>0</xdr:row>
      <xdr:rowOff>73652</xdr:rowOff>
    </xdr:from>
    <xdr:to>
      <xdr:col>11</xdr:col>
      <xdr:colOff>457200</xdr:colOff>
      <xdr:row>3</xdr:row>
      <xdr:rowOff>765</xdr:rowOff>
    </xdr:to>
    <xdr:sp macro="" textlink="">
      <xdr:nvSpPr>
        <xdr:cNvPr id="8" name="Rectangle 7">
          <a:extLst>
            <a:ext uri="{FF2B5EF4-FFF2-40B4-BE49-F238E27FC236}">
              <a16:creationId xmlns:a16="http://schemas.microsoft.com/office/drawing/2014/main" id="{ADDA94FC-46F8-4D87-9E7C-32262CD24642}"/>
            </a:ext>
          </a:extLst>
        </xdr:cNvPr>
        <xdr:cNvSpPr/>
      </xdr:nvSpPr>
      <xdr:spPr>
        <a:xfrm>
          <a:off x="4035288" y="73652"/>
          <a:ext cx="3127512" cy="483704"/>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latin typeface="Calibri" panose="020F0502020204030204" pitchFamily="34" charset="0"/>
            <a:ea typeface="Calibri" panose="020F0502020204030204" pitchFamily="34" charset="0"/>
            <a:cs typeface="+mn-cs"/>
          </a:endParaRPr>
        </a:p>
      </xdr:txBody>
    </xdr:sp>
    <xdr:clientData/>
  </xdr:twoCellAnchor>
  <xdr:twoCellAnchor>
    <xdr:from>
      <xdr:col>3</xdr:col>
      <xdr:colOff>577999</xdr:colOff>
      <xdr:row>0</xdr:row>
      <xdr:rowOff>65314</xdr:rowOff>
    </xdr:from>
    <xdr:to>
      <xdr:col>6</xdr:col>
      <xdr:colOff>331304</xdr:colOff>
      <xdr:row>3</xdr:row>
      <xdr:rowOff>6627</xdr:rowOff>
    </xdr:to>
    <xdr:sp macro="" textlink="">
      <xdr:nvSpPr>
        <xdr:cNvPr id="9" name="Rectangle 8">
          <a:extLst>
            <a:ext uri="{FF2B5EF4-FFF2-40B4-BE49-F238E27FC236}">
              <a16:creationId xmlns:a16="http://schemas.microsoft.com/office/drawing/2014/main" id="{1F6176D8-4E95-414D-8CDE-BE33131FCF82}"/>
            </a:ext>
          </a:extLst>
        </xdr:cNvPr>
        <xdr:cNvSpPr/>
      </xdr:nvSpPr>
      <xdr:spPr>
        <a:xfrm>
          <a:off x="2406799" y="65314"/>
          <a:ext cx="1582105" cy="497904"/>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365272</xdr:colOff>
      <xdr:row>3</xdr:row>
      <xdr:rowOff>55091</xdr:rowOff>
    </xdr:from>
    <xdr:to>
      <xdr:col>9</xdr:col>
      <xdr:colOff>99347</xdr:colOff>
      <xdr:row>8</xdr:row>
      <xdr:rowOff>8710</xdr:rowOff>
    </xdr:to>
    <xdr:sp macro="" textlink="">
      <xdr:nvSpPr>
        <xdr:cNvPr id="10" name="Rectangle 9">
          <a:extLst>
            <a:ext uri="{FF2B5EF4-FFF2-40B4-BE49-F238E27FC236}">
              <a16:creationId xmlns:a16="http://schemas.microsoft.com/office/drawing/2014/main" id="{A6073BC3-290A-4F24-8320-ED3ABF4B4D4C}"/>
            </a:ext>
          </a:extLst>
        </xdr:cNvPr>
        <xdr:cNvSpPr/>
      </xdr:nvSpPr>
      <xdr:spPr>
        <a:xfrm>
          <a:off x="4022872" y="598016"/>
          <a:ext cx="1562875" cy="858494"/>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139148</xdr:colOff>
      <xdr:row>3</xdr:row>
      <xdr:rowOff>55091</xdr:rowOff>
    </xdr:from>
    <xdr:to>
      <xdr:col>11</xdr:col>
      <xdr:colOff>457200</xdr:colOff>
      <xdr:row>8</xdr:row>
      <xdr:rowOff>8710</xdr:rowOff>
    </xdr:to>
    <xdr:sp macro="" textlink="">
      <xdr:nvSpPr>
        <xdr:cNvPr id="11" name="Rectangle 10">
          <a:extLst>
            <a:ext uri="{FF2B5EF4-FFF2-40B4-BE49-F238E27FC236}">
              <a16:creationId xmlns:a16="http://schemas.microsoft.com/office/drawing/2014/main" id="{6DCD22AA-9F72-4E12-B53F-50946FB64848}"/>
            </a:ext>
          </a:extLst>
        </xdr:cNvPr>
        <xdr:cNvSpPr/>
      </xdr:nvSpPr>
      <xdr:spPr>
        <a:xfrm>
          <a:off x="5625548" y="603731"/>
          <a:ext cx="1537252" cy="868019"/>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562197</xdr:colOff>
      <xdr:row>0</xdr:row>
      <xdr:rowOff>100920</xdr:rowOff>
    </xdr:from>
    <xdr:to>
      <xdr:col>11</xdr:col>
      <xdr:colOff>376666</xdr:colOff>
      <xdr:row>2</xdr:row>
      <xdr:rowOff>153928</xdr:rowOff>
    </xdr:to>
    <xdr:pic>
      <xdr:nvPicPr>
        <xdr:cNvPr id="12" name="Picture 11">
          <a:extLst>
            <a:ext uri="{FF2B5EF4-FFF2-40B4-BE49-F238E27FC236}">
              <a16:creationId xmlns:a16="http://schemas.microsoft.com/office/drawing/2014/main" id="{C01EB5F8-6E93-47BE-8A64-653DE6E63F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58197" y="100920"/>
          <a:ext cx="424069" cy="418768"/>
        </a:xfrm>
        <a:prstGeom prst="rect">
          <a:avLst/>
        </a:prstGeom>
      </xdr:spPr>
    </xdr:pic>
    <xdr:clientData/>
  </xdr:twoCellAnchor>
  <xdr:twoCellAnchor>
    <xdr:from>
      <xdr:col>6</xdr:col>
      <xdr:colOff>424070</xdr:colOff>
      <xdr:row>0</xdr:row>
      <xdr:rowOff>86415</xdr:rowOff>
    </xdr:from>
    <xdr:to>
      <xdr:col>11</xdr:col>
      <xdr:colOff>146538</xdr:colOff>
      <xdr:row>2</xdr:row>
      <xdr:rowOff>181707</xdr:rowOff>
    </xdr:to>
    <xdr:sp macro="" textlink="">
      <xdr:nvSpPr>
        <xdr:cNvPr id="13" name="Rectangle 12">
          <a:extLst>
            <a:ext uri="{FF2B5EF4-FFF2-40B4-BE49-F238E27FC236}">
              <a16:creationId xmlns:a16="http://schemas.microsoft.com/office/drawing/2014/main" id="{01992784-6DDA-4ACD-8595-B4977B28D27B}"/>
            </a:ext>
          </a:extLst>
        </xdr:cNvPr>
        <xdr:cNvSpPr/>
      </xdr:nvSpPr>
      <xdr:spPr>
        <a:xfrm>
          <a:off x="4081670" y="86415"/>
          <a:ext cx="2770468" cy="4663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11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مؤشرات</a:t>
          </a:r>
          <a:r>
            <a:rPr lang="ar-SA" sz="11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العناية الحرجة</a:t>
          </a:r>
        </a:p>
        <a:p>
          <a:pPr algn="ctr"/>
          <a:r>
            <a:rPr lang="ar-SA" sz="11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تحليل لوحة بيانات قسم الطوارئ</a:t>
          </a:r>
          <a:endParaRPr lang="en-US" sz="11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164123</xdr:colOff>
      <xdr:row>4</xdr:row>
      <xdr:rowOff>39512</xdr:rowOff>
    </xdr:from>
    <xdr:to>
      <xdr:col>11</xdr:col>
      <xdr:colOff>451339</xdr:colOff>
      <xdr:row>5</xdr:row>
      <xdr:rowOff>117220</xdr:rowOff>
    </xdr:to>
    <xdr:sp macro="" textlink="Pivot_Tab!$A$4">
      <xdr:nvSpPr>
        <xdr:cNvPr id="14" name="Rectangle 13">
          <a:extLst>
            <a:ext uri="{FF2B5EF4-FFF2-40B4-BE49-F238E27FC236}">
              <a16:creationId xmlns:a16="http://schemas.microsoft.com/office/drawing/2014/main" id="{F0CEB276-7B88-4C87-B37F-477205936599}"/>
            </a:ext>
          </a:extLst>
        </xdr:cNvPr>
        <xdr:cNvSpPr/>
      </xdr:nvSpPr>
      <xdr:spPr>
        <a:xfrm>
          <a:off x="5650523" y="771032"/>
          <a:ext cx="1506416" cy="26058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4E7A984-305B-438A-AEFA-7AD0BC82BA66}" type="TxLink">
            <a:rPr lang="en-US" sz="1100" b="1" i="0" u="none" strike="noStrike">
              <a:solidFill>
                <a:srgbClr val="000000"/>
              </a:solidFill>
              <a:latin typeface="Calibri"/>
              <a:ea typeface="Calibri"/>
              <a:cs typeface="Calibri"/>
            </a:rPr>
            <a:pPr algn="ctr"/>
            <a:t>129</a:t>
          </a:fld>
          <a:endParaRPr lang="en-US" sz="10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187569</xdr:colOff>
      <xdr:row>3</xdr:row>
      <xdr:rowOff>58610</xdr:rowOff>
    </xdr:from>
    <xdr:to>
      <xdr:col>11</xdr:col>
      <xdr:colOff>334108</xdr:colOff>
      <xdr:row>4</xdr:row>
      <xdr:rowOff>165626</xdr:rowOff>
    </xdr:to>
    <xdr:sp macro="" textlink="">
      <xdr:nvSpPr>
        <xdr:cNvPr id="15" name="Rectangle 14">
          <a:extLst>
            <a:ext uri="{FF2B5EF4-FFF2-40B4-BE49-F238E27FC236}">
              <a16:creationId xmlns:a16="http://schemas.microsoft.com/office/drawing/2014/main" id="{D5E6E68B-0639-484C-A53C-5B80820FE266}"/>
            </a:ext>
          </a:extLst>
        </xdr:cNvPr>
        <xdr:cNvSpPr/>
      </xdr:nvSpPr>
      <xdr:spPr>
        <a:xfrm>
          <a:off x="5673969" y="607250"/>
          <a:ext cx="1365739" cy="2898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10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عدد</a:t>
          </a:r>
          <a:r>
            <a:rPr lang="ar-SA" sz="10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المرضى</a:t>
          </a:r>
          <a:endParaRPr lang="en-US" sz="10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392723</xdr:colOff>
      <xdr:row>4</xdr:row>
      <xdr:rowOff>33652</xdr:rowOff>
    </xdr:from>
    <xdr:to>
      <xdr:col>9</xdr:col>
      <xdr:colOff>70339</xdr:colOff>
      <xdr:row>5</xdr:row>
      <xdr:rowOff>111360</xdr:rowOff>
    </xdr:to>
    <xdr:sp macro="" textlink="Pivot_Tab!$A$8">
      <xdr:nvSpPr>
        <xdr:cNvPr id="16" name="Rectangle 15">
          <a:extLst>
            <a:ext uri="{FF2B5EF4-FFF2-40B4-BE49-F238E27FC236}">
              <a16:creationId xmlns:a16="http://schemas.microsoft.com/office/drawing/2014/main" id="{C47A25FA-0D60-478D-975C-5CECB8EC6C55}"/>
            </a:ext>
          </a:extLst>
        </xdr:cNvPr>
        <xdr:cNvSpPr/>
      </xdr:nvSpPr>
      <xdr:spPr>
        <a:xfrm>
          <a:off x="4050323" y="765172"/>
          <a:ext cx="1506416" cy="26058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19190A1-7CD0-4755-9923-9B638E674BD3}" type="TxLink">
            <a:rPr lang="en-US" sz="1100" b="1" i="0" u="none" strike="noStrike">
              <a:solidFill>
                <a:srgbClr val="000000"/>
              </a:solidFill>
              <a:latin typeface="Calibri"/>
              <a:ea typeface="Calibri"/>
              <a:cs typeface="Calibri"/>
            </a:rPr>
            <a:pPr algn="ctr"/>
            <a:t>33.84</a:t>
          </a:fld>
          <a:endParaRPr lang="en-US" sz="10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17584</xdr:colOff>
      <xdr:row>4</xdr:row>
      <xdr:rowOff>45376</xdr:rowOff>
    </xdr:from>
    <xdr:to>
      <xdr:col>6</xdr:col>
      <xdr:colOff>304800</xdr:colOff>
      <xdr:row>5</xdr:row>
      <xdr:rowOff>123084</xdr:rowOff>
    </xdr:to>
    <xdr:sp macro="" textlink="Pivot_Tab!$A$12">
      <xdr:nvSpPr>
        <xdr:cNvPr id="17" name="Rectangle 16">
          <a:extLst>
            <a:ext uri="{FF2B5EF4-FFF2-40B4-BE49-F238E27FC236}">
              <a16:creationId xmlns:a16="http://schemas.microsoft.com/office/drawing/2014/main" id="{A34CFC45-928C-48AC-B5FD-B5AC66ECC149}"/>
            </a:ext>
          </a:extLst>
        </xdr:cNvPr>
        <xdr:cNvSpPr/>
      </xdr:nvSpPr>
      <xdr:spPr>
        <a:xfrm>
          <a:off x="2455984" y="776896"/>
          <a:ext cx="1506416" cy="26058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79F2187-5B19-450C-A4CC-4C72A7931300}" type="TxLink">
            <a:rPr lang="en-US" sz="1100" b="1" i="0" u="none" strike="noStrike">
              <a:solidFill>
                <a:srgbClr val="000000"/>
              </a:solidFill>
              <a:latin typeface="Calibri"/>
              <a:ea typeface="Calibri"/>
              <a:cs typeface="Calibri"/>
            </a:rPr>
            <a:pPr algn="ctr"/>
            <a:t>4.9</a:t>
          </a:fld>
          <a:endParaRPr lang="en-US" sz="10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41030</xdr:colOff>
      <xdr:row>3</xdr:row>
      <xdr:rowOff>58615</xdr:rowOff>
    </xdr:from>
    <xdr:to>
      <xdr:col>6</xdr:col>
      <xdr:colOff>316522</xdr:colOff>
      <xdr:row>4</xdr:row>
      <xdr:rowOff>165631</xdr:rowOff>
    </xdr:to>
    <xdr:sp macro="" textlink="">
      <xdr:nvSpPr>
        <xdr:cNvPr id="18" name="Rectangle 17">
          <a:extLst>
            <a:ext uri="{FF2B5EF4-FFF2-40B4-BE49-F238E27FC236}">
              <a16:creationId xmlns:a16="http://schemas.microsoft.com/office/drawing/2014/main" id="{92854616-784D-4D24-A86B-D9FCA2C14F7A}"/>
            </a:ext>
          </a:extLst>
        </xdr:cNvPr>
        <xdr:cNvSpPr/>
      </xdr:nvSpPr>
      <xdr:spPr>
        <a:xfrm>
          <a:off x="2479430" y="607255"/>
          <a:ext cx="1494692" cy="2898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10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معدل رضا</a:t>
          </a:r>
          <a:r>
            <a:rPr lang="ar-SA" sz="10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ar-SA" sz="1000" b="1" u="sng"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المرضى</a:t>
          </a:r>
          <a:endParaRPr lang="en-US" sz="1000" b="1" u="sng">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10</xdr:col>
      <xdr:colOff>603740</xdr:colOff>
      <xdr:row>3</xdr:row>
      <xdr:rowOff>58613</xdr:rowOff>
    </xdr:from>
    <xdr:to>
      <xdr:col>11</xdr:col>
      <xdr:colOff>293078</xdr:colOff>
      <xdr:row>4</xdr:row>
      <xdr:rowOff>175843</xdr:rowOff>
    </xdr:to>
    <xdr:pic>
      <xdr:nvPicPr>
        <xdr:cNvPr id="19" name="Graphic 18" descr="Woman with cane with solid fill">
          <a:extLst>
            <a:ext uri="{FF2B5EF4-FFF2-40B4-BE49-F238E27FC236}">
              <a16:creationId xmlns:a16="http://schemas.microsoft.com/office/drawing/2014/main" id="{EC0DF334-31BC-46CC-BB55-CEE537CFE5A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699740" y="607253"/>
          <a:ext cx="298938" cy="300110"/>
        </a:xfrm>
        <a:prstGeom prst="rect">
          <a:avLst/>
        </a:prstGeom>
      </xdr:spPr>
    </xdr:pic>
    <xdr:clientData/>
  </xdr:twoCellAnchor>
  <xdr:twoCellAnchor editAs="oneCell">
    <xdr:from>
      <xdr:col>8</xdr:col>
      <xdr:colOff>480646</xdr:colOff>
      <xdr:row>3</xdr:row>
      <xdr:rowOff>93783</xdr:rowOff>
    </xdr:from>
    <xdr:to>
      <xdr:col>9</xdr:col>
      <xdr:colOff>93785</xdr:colOff>
      <xdr:row>4</xdr:row>
      <xdr:rowOff>134814</xdr:rowOff>
    </xdr:to>
    <xdr:pic>
      <xdr:nvPicPr>
        <xdr:cNvPr id="20" name="Graphic 19" descr="Hourglass Finished with solid fill">
          <a:extLst>
            <a:ext uri="{FF2B5EF4-FFF2-40B4-BE49-F238E27FC236}">
              <a16:creationId xmlns:a16="http://schemas.microsoft.com/office/drawing/2014/main" id="{436F1355-1CAA-43D4-9FCD-A7C93D0C159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7446" y="642423"/>
          <a:ext cx="222739" cy="223911"/>
        </a:xfrm>
        <a:prstGeom prst="rect">
          <a:avLst/>
        </a:prstGeom>
      </xdr:spPr>
    </xdr:pic>
    <xdr:clientData/>
  </xdr:twoCellAnchor>
  <xdr:twoCellAnchor editAs="oneCell">
    <xdr:from>
      <xdr:col>11</xdr:col>
      <xdr:colOff>181708</xdr:colOff>
      <xdr:row>3</xdr:row>
      <xdr:rowOff>46890</xdr:rowOff>
    </xdr:from>
    <xdr:to>
      <xdr:col>11</xdr:col>
      <xdr:colOff>492369</xdr:colOff>
      <xdr:row>4</xdr:row>
      <xdr:rowOff>175843</xdr:rowOff>
    </xdr:to>
    <xdr:pic>
      <xdr:nvPicPr>
        <xdr:cNvPr id="21" name="Graphic 20" descr="Man with cane with solid fill">
          <a:extLst>
            <a:ext uri="{FF2B5EF4-FFF2-40B4-BE49-F238E27FC236}">
              <a16:creationId xmlns:a16="http://schemas.microsoft.com/office/drawing/2014/main" id="{9727FB13-C8B2-4A20-A70A-540AE9C5632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87308" y="595530"/>
          <a:ext cx="310661" cy="311833"/>
        </a:xfrm>
        <a:prstGeom prst="rect">
          <a:avLst/>
        </a:prstGeom>
      </xdr:spPr>
    </xdr:pic>
    <xdr:clientData/>
  </xdr:twoCellAnchor>
  <xdr:twoCellAnchor editAs="oneCell">
    <xdr:from>
      <xdr:col>6</xdr:col>
      <xdr:colOff>35170</xdr:colOff>
      <xdr:row>3</xdr:row>
      <xdr:rowOff>29304</xdr:rowOff>
    </xdr:from>
    <xdr:to>
      <xdr:col>6</xdr:col>
      <xdr:colOff>304800</xdr:colOff>
      <xdr:row>4</xdr:row>
      <xdr:rowOff>117226</xdr:rowOff>
    </xdr:to>
    <xdr:pic>
      <xdr:nvPicPr>
        <xdr:cNvPr id="22" name="Graphic 21" descr="Rating Star with solid fill">
          <a:extLst>
            <a:ext uri="{FF2B5EF4-FFF2-40B4-BE49-F238E27FC236}">
              <a16:creationId xmlns:a16="http://schemas.microsoft.com/office/drawing/2014/main" id="{5CF749BD-DD72-4863-A6D2-D96DE618E21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92770" y="577944"/>
          <a:ext cx="269630" cy="270802"/>
        </a:xfrm>
        <a:prstGeom prst="rect">
          <a:avLst/>
        </a:prstGeom>
      </xdr:spPr>
    </xdr:pic>
    <xdr:clientData/>
  </xdr:twoCellAnchor>
  <xdr:twoCellAnchor>
    <xdr:from>
      <xdr:col>6</xdr:col>
      <xdr:colOff>451338</xdr:colOff>
      <xdr:row>3</xdr:row>
      <xdr:rowOff>70333</xdr:rowOff>
    </xdr:from>
    <xdr:to>
      <xdr:col>8</xdr:col>
      <xdr:colOff>597877</xdr:colOff>
      <xdr:row>4</xdr:row>
      <xdr:rowOff>177349</xdr:rowOff>
    </xdr:to>
    <xdr:sp macro="" textlink="">
      <xdr:nvSpPr>
        <xdr:cNvPr id="24" name="Rectangle 23">
          <a:extLst>
            <a:ext uri="{FF2B5EF4-FFF2-40B4-BE49-F238E27FC236}">
              <a16:creationId xmlns:a16="http://schemas.microsoft.com/office/drawing/2014/main" id="{004EE86F-09D1-4049-A47A-D5544B300E5A}"/>
            </a:ext>
          </a:extLst>
        </xdr:cNvPr>
        <xdr:cNvSpPr/>
      </xdr:nvSpPr>
      <xdr:spPr>
        <a:xfrm>
          <a:off x="4108938" y="618973"/>
          <a:ext cx="1365739" cy="2898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10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متوسط</a:t>
          </a:r>
          <a:r>
            <a:rPr lang="ar-SA" sz="10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وقت الإنتظار</a:t>
          </a:r>
          <a:endParaRPr lang="en-US" sz="10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11</xdr:col>
      <xdr:colOff>480060</xdr:colOff>
      <xdr:row>0</xdr:row>
      <xdr:rowOff>53340</xdr:rowOff>
    </xdr:from>
    <xdr:to>
      <xdr:col>13</xdr:col>
      <xdr:colOff>548640</xdr:colOff>
      <xdr:row>21</xdr:row>
      <xdr:rowOff>112644</xdr:rowOff>
    </xdr:to>
    <mc:AlternateContent xmlns:mc="http://schemas.openxmlformats.org/markup-compatibility/2006" xmlns:a14="http://schemas.microsoft.com/office/drawing/2010/main">
      <mc:Choice Requires="a14">
        <xdr:graphicFrame macro="">
          <xdr:nvGraphicFramePr>
            <xdr:cNvPr id="28" name="Date (Month) 1">
              <a:extLst>
                <a:ext uri="{FF2B5EF4-FFF2-40B4-BE49-F238E27FC236}">
                  <a16:creationId xmlns:a16="http://schemas.microsoft.com/office/drawing/2014/main" id="{634E30BB-7709-47F8-873E-8A0B9A1A5690}"/>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7185660" y="53340"/>
              <a:ext cx="1287780" cy="3981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159026</xdr:colOff>
      <xdr:row>3</xdr:row>
      <xdr:rowOff>26506</xdr:rowOff>
    </xdr:from>
    <xdr:to>
      <xdr:col>11</xdr:col>
      <xdr:colOff>424070</xdr:colOff>
      <xdr:row>7</xdr:row>
      <xdr:rowOff>159026</xdr:rowOff>
    </xdr:to>
    <xdr:graphicFrame macro="">
      <xdr:nvGraphicFramePr>
        <xdr:cNvPr id="29" name="Chart 28">
          <a:hlinkClick xmlns:r="http://schemas.openxmlformats.org/officeDocument/2006/relationships" r:id="rId10"/>
          <a:extLst>
            <a:ext uri="{FF2B5EF4-FFF2-40B4-BE49-F238E27FC236}">
              <a16:creationId xmlns:a16="http://schemas.microsoft.com/office/drawing/2014/main" id="{9B96FB40-336B-4DD7-BFAF-7834A0C21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384314</xdr:colOff>
      <xdr:row>4</xdr:row>
      <xdr:rowOff>152400</xdr:rowOff>
    </xdr:from>
    <xdr:to>
      <xdr:col>9</xdr:col>
      <xdr:colOff>66261</xdr:colOff>
      <xdr:row>7</xdr:row>
      <xdr:rowOff>152399</xdr:rowOff>
    </xdr:to>
    <xdr:graphicFrame macro="">
      <xdr:nvGraphicFramePr>
        <xdr:cNvPr id="30" name="Chart 29">
          <a:hlinkClick xmlns:r="http://schemas.openxmlformats.org/officeDocument/2006/relationships" r:id="rId12"/>
          <a:extLst>
            <a:ext uri="{FF2B5EF4-FFF2-40B4-BE49-F238E27FC236}">
              <a16:creationId xmlns:a16="http://schemas.microsoft.com/office/drawing/2014/main" id="{E4CC3496-5C92-44D1-A215-A94F8A755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0</xdr:colOff>
      <xdr:row>5</xdr:row>
      <xdr:rowOff>33131</xdr:rowOff>
    </xdr:from>
    <xdr:to>
      <xdr:col>6</xdr:col>
      <xdr:colOff>298174</xdr:colOff>
      <xdr:row>7</xdr:row>
      <xdr:rowOff>152400</xdr:rowOff>
    </xdr:to>
    <xdr:graphicFrame macro="">
      <xdr:nvGraphicFramePr>
        <xdr:cNvPr id="31" name="Chart 30">
          <a:hlinkClick xmlns:r="http://schemas.openxmlformats.org/officeDocument/2006/relationships" r:id="rId14"/>
          <a:extLst>
            <a:ext uri="{FF2B5EF4-FFF2-40B4-BE49-F238E27FC236}">
              <a16:creationId xmlns:a16="http://schemas.microsoft.com/office/drawing/2014/main" id="{5B74C100-62D7-44E4-AC02-F46757CCC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55280</xdr:colOff>
      <xdr:row>9</xdr:row>
      <xdr:rowOff>174738</xdr:rowOff>
    </xdr:from>
    <xdr:to>
      <xdr:col>7</xdr:col>
      <xdr:colOff>576469</xdr:colOff>
      <xdr:row>11</xdr:row>
      <xdr:rowOff>19878</xdr:rowOff>
    </xdr:to>
    <xdr:sp macro="" textlink="Pivot_Tab!B30">
      <xdr:nvSpPr>
        <xdr:cNvPr id="32" name="Rectangle 31">
          <a:extLst>
            <a:ext uri="{FF2B5EF4-FFF2-40B4-BE49-F238E27FC236}">
              <a16:creationId xmlns:a16="http://schemas.microsoft.com/office/drawing/2014/main" id="{39775D0A-F335-4700-B7B9-094D06819D4B}"/>
            </a:ext>
          </a:extLst>
        </xdr:cNvPr>
        <xdr:cNvSpPr/>
      </xdr:nvSpPr>
      <xdr:spPr>
        <a:xfrm>
          <a:off x="4322480" y="1844512"/>
          <a:ext cx="521189" cy="2162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64C9B5C-57F6-4346-B563-8AF0635F7D57}" type="TxLink">
            <a:rPr lang="en-US" sz="800" b="1" i="0" u="none" strike="noStrike">
              <a:solidFill>
                <a:srgbClr val="000000"/>
              </a:solidFill>
              <a:latin typeface="Calibri"/>
              <a:ea typeface="Calibri"/>
              <a:cs typeface="Calibri"/>
            </a:rPr>
            <a:pPr algn="ctr"/>
            <a:t>64.0</a:t>
          </a:fld>
          <a:endParaRPr lang="en-US" sz="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28776</xdr:colOff>
      <xdr:row>9</xdr:row>
      <xdr:rowOff>28965</xdr:rowOff>
    </xdr:from>
    <xdr:to>
      <xdr:col>7</xdr:col>
      <xdr:colOff>583095</xdr:colOff>
      <xdr:row>10</xdr:row>
      <xdr:rowOff>39757</xdr:rowOff>
    </xdr:to>
    <xdr:sp macro="" textlink="Pivot_Tab!B31">
      <xdr:nvSpPr>
        <xdr:cNvPr id="33" name="Rectangle 32">
          <a:extLst>
            <a:ext uri="{FF2B5EF4-FFF2-40B4-BE49-F238E27FC236}">
              <a16:creationId xmlns:a16="http://schemas.microsoft.com/office/drawing/2014/main" id="{09F199DB-F8AB-47A0-82A6-F4F6E87C310C}"/>
            </a:ext>
          </a:extLst>
        </xdr:cNvPr>
        <xdr:cNvSpPr/>
      </xdr:nvSpPr>
      <xdr:spPr>
        <a:xfrm>
          <a:off x="4295976" y="1698739"/>
          <a:ext cx="554319" cy="1963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230179D-A124-4E61-8D3C-D537CA640EFB}" type="TxLink">
            <a:rPr lang="en-US" sz="800" b="1" i="0" u="none" strike="noStrike">
              <a:solidFill>
                <a:srgbClr val="000000"/>
              </a:solidFill>
              <a:latin typeface="Calibri"/>
              <a:ea typeface="Calibri"/>
              <a:cs typeface="Calibri"/>
            </a:rPr>
            <a:pPr algn="ctr"/>
            <a:t>65.0</a:t>
          </a:fld>
          <a:endParaRPr lang="en-US" sz="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583095</xdr:colOff>
      <xdr:row>9</xdr:row>
      <xdr:rowOff>181364</xdr:rowOff>
    </xdr:from>
    <xdr:to>
      <xdr:col>9</xdr:col>
      <xdr:colOff>152401</xdr:colOff>
      <xdr:row>11</xdr:row>
      <xdr:rowOff>19878</xdr:rowOff>
    </xdr:to>
    <xdr:sp macro="" textlink="Pivot_Tab!C30">
      <xdr:nvSpPr>
        <xdr:cNvPr id="34" name="Rectangle 33">
          <a:extLst>
            <a:ext uri="{FF2B5EF4-FFF2-40B4-BE49-F238E27FC236}">
              <a16:creationId xmlns:a16="http://schemas.microsoft.com/office/drawing/2014/main" id="{F18F96BA-80F9-4B66-BAC8-1507EFB38040}"/>
            </a:ext>
          </a:extLst>
        </xdr:cNvPr>
        <xdr:cNvSpPr/>
      </xdr:nvSpPr>
      <xdr:spPr>
        <a:xfrm>
          <a:off x="4850295" y="1851138"/>
          <a:ext cx="788506" cy="20957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280904A-D4C4-4FFC-914F-3289AE10867C}" type="TxLink">
            <a:rPr lang="en-US" sz="800" b="1" i="0" u="none" strike="noStrike">
              <a:solidFill>
                <a:srgbClr val="000000"/>
              </a:solidFill>
              <a:latin typeface="Calibri"/>
              <a:ea typeface="Calibri"/>
              <a:cs typeface="Calibri"/>
            </a:rPr>
            <a:pPr algn="ctr"/>
            <a:t>49.61%</a:t>
          </a:fld>
          <a:endParaRPr lang="en-US" sz="6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15523</xdr:colOff>
      <xdr:row>9</xdr:row>
      <xdr:rowOff>48843</xdr:rowOff>
    </xdr:from>
    <xdr:to>
      <xdr:col>9</xdr:col>
      <xdr:colOff>72887</xdr:colOff>
      <xdr:row>10</xdr:row>
      <xdr:rowOff>126551</xdr:rowOff>
    </xdr:to>
    <xdr:sp macro="" textlink="Pivot_Tab!C31">
      <xdr:nvSpPr>
        <xdr:cNvPr id="35" name="Rectangle 34">
          <a:extLst>
            <a:ext uri="{FF2B5EF4-FFF2-40B4-BE49-F238E27FC236}">
              <a16:creationId xmlns:a16="http://schemas.microsoft.com/office/drawing/2014/main" id="{56ADAA71-F952-4A5C-85ED-B9CFD9502685}"/>
            </a:ext>
          </a:extLst>
        </xdr:cNvPr>
        <xdr:cNvSpPr/>
      </xdr:nvSpPr>
      <xdr:spPr>
        <a:xfrm>
          <a:off x="4892323" y="1718617"/>
          <a:ext cx="666964" cy="2632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B5F35C2-C51F-4083-976D-65A05937979C}" type="TxLink">
            <a:rPr lang="en-US" sz="800" b="1" i="0" u="none" strike="noStrike">
              <a:solidFill>
                <a:srgbClr val="000000"/>
              </a:solidFill>
              <a:latin typeface="Calibri"/>
              <a:ea typeface="Calibri"/>
              <a:cs typeface="Calibri"/>
            </a:rPr>
            <a:pPr algn="ctr"/>
            <a:t>50.39%</a:t>
          </a:fld>
          <a:endParaRPr lang="en-US" sz="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430696</xdr:colOff>
      <xdr:row>8</xdr:row>
      <xdr:rowOff>72887</xdr:rowOff>
    </xdr:from>
    <xdr:to>
      <xdr:col>11</xdr:col>
      <xdr:colOff>251792</xdr:colOff>
      <xdr:row>11</xdr:row>
      <xdr:rowOff>92765</xdr:rowOff>
    </xdr:to>
    <xdr:graphicFrame macro="">
      <xdr:nvGraphicFramePr>
        <xdr:cNvPr id="44" name="Chart 43">
          <a:extLst>
            <a:ext uri="{FF2B5EF4-FFF2-40B4-BE49-F238E27FC236}">
              <a16:creationId xmlns:a16="http://schemas.microsoft.com/office/drawing/2014/main" id="{0EA66D73-D139-4566-BD8C-17C9FB9E0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53010</xdr:colOff>
      <xdr:row>13</xdr:row>
      <xdr:rowOff>152399</xdr:rowOff>
    </xdr:from>
    <xdr:to>
      <xdr:col>11</xdr:col>
      <xdr:colOff>198784</xdr:colOff>
      <xdr:row>20</xdr:row>
      <xdr:rowOff>185529</xdr:rowOff>
    </xdr:to>
    <xdr:graphicFrame macro="">
      <xdr:nvGraphicFramePr>
        <xdr:cNvPr id="45" name="Chart 44">
          <a:extLst>
            <a:ext uri="{FF2B5EF4-FFF2-40B4-BE49-F238E27FC236}">
              <a16:creationId xmlns:a16="http://schemas.microsoft.com/office/drawing/2014/main" id="{86851366-9EAD-4F54-A718-8D10260F5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119269</xdr:colOff>
      <xdr:row>12</xdr:row>
      <xdr:rowOff>139148</xdr:rowOff>
    </xdr:from>
    <xdr:to>
      <xdr:col>3</xdr:col>
      <xdr:colOff>536712</xdr:colOff>
      <xdr:row>21</xdr:row>
      <xdr:rowOff>19878</xdr:rowOff>
    </xdr:to>
    <xdr:graphicFrame macro="">
      <xdr:nvGraphicFramePr>
        <xdr:cNvPr id="49" name="Chart 48">
          <a:extLst>
            <a:ext uri="{FF2B5EF4-FFF2-40B4-BE49-F238E27FC236}">
              <a16:creationId xmlns:a16="http://schemas.microsoft.com/office/drawing/2014/main" id="{A720BD36-01F0-4D15-9AF6-FBBABA1FE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xdr:col>
      <xdr:colOff>586596</xdr:colOff>
      <xdr:row>0</xdr:row>
      <xdr:rowOff>79950</xdr:rowOff>
    </xdr:from>
    <xdr:to>
      <xdr:col>6</xdr:col>
      <xdr:colOff>316302</xdr:colOff>
      <xdr:row>2</xdr:row>
      <xdr:rowOff>169090</xdr:rowOff>
    </xdr:to>
    <mc:AlternateContent xmlns:mc="http://schemas.openxmlformats.org/markup-compatibility/2006" xmlns:a14="http://schemas.microsoft.com/office/drawing/2010/main">
      <mc:Choice Requires="a14">
        <xdr:graphicFrame macro="">
          <xdr:nvGraphicFramePr>
            <xdr:cNvPr id="50" name="Date (Year) 1">
              <a:extLst>
                <a:ext uri="{FF2B5EF4-FFF2-40B4-BE49-F238E27FC236}">
                  <a16:creationId xmlns:a16="http://schemas.microsoft.com/office/drawing/2014/main" id="{E5CE5798-64CB-4D37-9D8A-C2F464078FA5}"/>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2415396" y="79950"/>
              <a:ext cx="1558506" cy="451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588685</xdr:colOff>
      <xdr:row>9</xdr:row>
      <xdr:rowOff>35877</xdr:rowOff>
    </xdr:from>
    <xdr:to>
      <xdr:col>7</xdr:col>
      <xdr:colOff>104984</xdr:colOff>
      <xdr:row>10</xdr:row>
      <xdr:rowOff>79513</xdr:rowOff>
    </xdr:to>
    <xdr:sp macro="" textlink="">
      <xdr:nvSpPr>
        <xdr:cNvPr id="4" name="Rectangle 3">
          <a:extLst>
            <a:ext uri="{FF2B5EF4-FFF2-40B4-BE49-F238E27FC236}">
              <a16:creationId xmlns:a16="http://schemas.microsoft.com/office/drawing/2014/main" id="{CFC4EB99-F197-4DAF-A86D-00B2AC59E979}"/>
            </a:ext>
          </a:extLst>
        </xdr:cNvPr>
        <xdr:cNvSpPr/>
      </xdr:nvSpPr>
      <xdr:spPr>
        <a:xfrm>
          <a:off x="3027085" y="1664652"/>
          <a:ext cx="1345099" cy="2246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8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عدد</a:t>
          </a:r>
          <a:r>
            <a:rPr lang="ar-SA" sz="8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ونسبة المرضى المقبولين</a:t>
          </a:r>
          <a:endParaRPr lang="en-US" sz="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530087</xdr:colOff>
      <xdr:row>9</xdr:row>
      <xdr:rowOff>181651</xdr:rowOff>
    </xdr:from>
    <xdr:to>
      <xdr:col>7</xdr:col>
      <xdr:colOff>132525</xdr:colOff>
      <xdr:row>11</xdr:row>
      <xdr:rowOff>39756</xdr:rowOff>
    </xdr:to>
    <xdr:sp macro="" textlink="">
      <xdr:nvSpPr>
        <xdr:cNvPr id="25" name="Rectangle 24">
          <a:extLst>
            <a:ext uri="{FF2B5EF4-FFF2-40B4-BE49-F238E27FC236}">
              <a16:creationId xmlns:a16="http://schemas.microsoft.com/office/drawing/2014/main" id="{1DC35E19-C242-4B3D-B6EC-6D8C46F036EF}"/>
            </a:ext>
          </a:extLst>
        </xdr:cNvPr>
        <xdr:cNvSpPr/>
      </xdr:nvSpPr>
      <xdr:spPr>
        <a:xfrm>
          <a:off x="2968487" y="1851425"/>
          <a:ext cx="1431238" cy="2291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8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عدد</a:t>
          </a:r>
          <a:r>
            <a:rPr lang="ar-SA" sz="8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ونسبة المرضى الغير المقبولين</a:t>
          </a:r>
          <a:endParaRPr lang="en-US" sz="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86140</xdr:colOff>
      <xdr:row>11</xdr:row>
      <xdr:rowOff>167156</xdr:rowOff>
    </xdr:from>
    <xdr:to>
      <xdr:col>3</xdr:col>
      <xdr:colOff>510210</xdr:colOff>
      <xdr:row>13</xdr:row>
      <xdr:rowOff>25261</xdr:rowOff>
    </xdr:to>
    <xdr:sp macro="" textlink="">
      <xdr:nvSpPr>
        <xdr:cNvPr id="26" name="Rectangle 25">
          <a:extLst>
            <a:ext uri="{FF2B5EF4-FFF2-40B4-BE49-F238E27FC236}">
              <a16:creationId xmlns:a16="http://schemas.microsoft.com/office/drawing/2014/main" id="{732C820E-948D-4911-B6FF-B137F47BAB28}"/>
            </a:ext>
          </a:extLst>
        </xdr:cNvPr>
        <xdr:cNvSpPr/>
      </xdr:nvSpPr>
      <xdr:spPr>
        <a:xfrm>
          <a:off x="86140" y="2207991"/>
          <a:ext cx="2252870" cy="2291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8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إحصائية بعدد الإحالات في كل قسم</a:t>
          </a:r>
          <a:endParaRPr lang="en-US" sz="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71439</xdr:colOff>
      <xdr:row>6</xdr:row>
      <xdr:rowOff>10887</xdr:rowOff>
    </xdr:from>
    <xdr:to>
      <xdr:col>3</xdr:col>
      <xdr:colOff>536713</xdr:colOff>
      <xdr:row>11</xdr:row>
      <xdr:rowOff>106680</xdr:rowOff>
    </xdr:to>
    <xdr:sp macro="" textlink="">
      <xdr:nvSpPr>
        <xdr:cNvPr id="23" name="Rectangle 22">
          <a:extLst>
            <a:ext uri="{FF2B5EF4-FFF2-40B4-BE49-F238E27FC236}">
              <a16:creationId xmlns:a16="http://schemas.microsoft.com/office/drawing/2014/main" id="{004B2CEE-7214-4F1C-8845-C6AD73E0036A}"/>
            </a:ext>
          </a:extLst>
        </xdr:cNvPr>
        <xdr:cNvSpPr/>
      </xdr:nvSpPr>
      <xdr:spPr>
        <a:xfrm>
          <a:off x="71439" y="1124070"/>
          <a:ext cx="2294074" cy="102344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70338</xdr:colOff>
      <xdr:row>0</xdr:row>
      <xdr:rowOff>60813</xdr:rowOff>
    </xdr:from>
    <xdr:to>
      <xdr:col>3</xdr:col>
      <xdr:colOff>545123</xdr:colOff>
      <xdr:row>5</xdr:row>
      <xdr:rowOff>140531</xdr:rowOff>
    </xdr:to>
    <xdr:graphicFrame macro="">
      <xdr:nvGraphicFramePr>
        <xdr:cNvPr id="36" name="Chart 35">
          <a:extLst>
            <a:ext uri="{FF2B5EF4-FFF2-40B4-BE49-F238E27FC236}">
              <a16:creationId xmlns:a16="http://schemas.microsoft.com/office/drawing/2014/main" id="{BD33C91A-99D6-493C-9C9E-1030B0B23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585381</xdr:colOff>
      <xdr:row>0</xdr:row>
      <xdr:rowOff>63881</xdr:rowOff>
    </xdr:from>
    <xdr:to>
      <xdr:col>4</xdr:col>
      <xdr:colOff>399851</xdr:colOff>
      <xdr:row>1</xdr:row>
      <xdr:rowOff>105917</xdr:rowOff>
    </xdr:to>
    <xdr:sp macro="" textlink="">
      <xdr:nvSpPr>
        <xdr:cNvPr id="37" name="Rectangle 36">
          <a:extLst>
            <a:ext uri="{FF2B5EF4-FFF2-40B4-BE49-F238E27FC236}">
              <a16:creationId xmlns:a16="http://schemas.microsoft.com/office/drawing/2014/main" id="{4756F4B8-1CE3-43FE-85C8-D1ABAD728C8D}"/>
            </a:ext>
          </a:extLst>
        </xdr:cNvPr>
        <xdr:cNvSpPr/>
      </xdr:nvSpPr>
      <xdr:spPr>
        <a:xfrm>
          <a:off x="585381" y="63881"/>
          <a:ext cx="2252870" cy="2259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8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نسبة</a:t>
          </a:r>
          <a:r>
            <a:rPr lang="ar-SA" sz="8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المرضى الإناث والذكور</a:t>
          </a:r>
          <a:endParaRPr lang="en-US" sz="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0</xdr:colOff>
      <xdr:row>5</xdr:row>
      <xdr:rowOff>179293</xdr:rowOff>
    </xdr:from>
    <xdr:to>
      <xdr:col>3</xdr:col>
      <xdr:colOff>556591</xdr:colOff>
      <xdr:row>12</xdr:row>
      <xdr:rowOff>6626</xdr:rowOff>
    </xdr:to>
    <xdr:graphicFrame macro="">
      <xdr:nvGraphicFramePr>
        <xdr:cNvPr id="27" name="Chart 26">
          <a:extLst>
            <a:ext uri="{FF2B5EF4-FFF2-40B4-BE49-F238E27FC236}">
              <a16:creationId xmlns:a16="http://schemas.microsoft.com/office/drawing/2014/main" id="{167A234D-E777-41B3-85ED-C4BACE102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565503</xdr:colOff>
      <xdr:row>5</xdr:row>
      <xdr:rowOff>169897</xdr:rowOff>
    </xdr:from>
    <xdr:to>
      <xdr:col>4</xdr:col>
      <xdr:colOff>379973</xdr:colOff>
      <xdr:row>7</xdr:row>
      <xdr:rowOff>39758</xdr:rowOff>
    </xdr:to>
    <xdr:sp macro="" textlink="">
      <xdr:nvSpPr>
        <xdr:cNvPr id="40" name="Rectangle 39">
          <a:extLst>
            <a:ext uri="{FF2B5EF4-FFF2-40B4-BE49-F238E27FC236}">
              <a16:creationId xmlns:a16="http://schemas.microsoft.com/office/drawing/2014/main" id="{15828683-78B0-4C3F-8833-D69DE87339CD}"/>
            </a:ext>
          </a:extLst>
        </xdr:cNvPr>
        <xdr:cNvSpPr/>
      </xdr:nvSpPr>
      <xdr:spPr>
        <a:xfrm>
          <a:off x="565503" y="1097549"/>
          <a:ext cx="2252870" cy="2409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8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عدد المرضى المتأخرين والغير متأخرين</a:t>
          </a:r>
          <a:endParaRPr lang="en-US" sz="8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483703</xdr:colOff>
      <xdr:row>12</xdr:row>
      <xdr:rowOff>39756</xdr:rowOff>
    </xdr:from>
    <xdr:to>
      <xdr:col>9</xdr:col>
      <xdr:colOff>298173</xdr:colOff>
      <xdr:row>13</xdr:row>
      <xdr:rowOff>81791</xdr:rowOff>
    </xdr:to>
    <xdr:sp macro="" textlink="">
      <xdr:nvSpPr>
        <xdr:cNvPr id="43" name="Rectangle 42">
          <a:extLst>
            <a:ext uri="{FF2B5EF4-FFF2-40B4-BE49-F238E27FC236}">
              <a16:creationId xmlns:a16="http://schemas.microsoft.com/office/drawing/2014/main" id="{1F0653B6-A9C2-4D2B-9112-01A54E6627E3}"/>
            </a:ext>
          </a:extLst>
        </xdr:cNvPr>
        <xdr:cNvSpPr/>
      </xdr:nvSpPr>
      <xdr:spPr>
        <a:xfrm>
          <a:off x="3531703" y="2266121"/>
          <a:ext cx="2252870" cy="2275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10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توزيع</a:t>
          </a:r>
          <a:r>
            <a:rPr lang="ar-SA" sz="10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ar-SA" sz="10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أعمار المرضى على مختلف الفئات العمرية</a:t>
          </a:r>
          <a:endParaRPr lang="en-US" sz="10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76200</xdr:colOff>
      <xdr:row>20</xdr:row>
      <xdr:rowOff>99060</xdr:rowOff>
    </xdr:from>
    <xdr:to>
      <xdr:col>8</xdr:col>
      <xdr:colOff>586740</xdr:colOff>
      <xdr:row>23</xdr:row>
      <xdr:rowOff>60960</xdr:rowOff>
    </xdr:to>
    <xdr:pic>
      <xdr:nvPicPr>
        <xdr:cNvPr id="3" name="Graphic 2" descr="Rewind with solid fill">
          <a:hlinkClick xmlns:r="http://schemas.openxmlformats.org/officeDocument/2006/relationships" r:id="rId1"/>
          <a:extLst>
            <a:ext uri="{FF2B5EF4-FFF2-40B4-BE49-F238E27FC236}">
              <a16:creationId xmlns:a16="http://schemas.microsoft.com/office/drawing/2014/main" id="{450261B2-1F3B-418A-9DDB-1AE202CBD23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953000" y="3817620"/>
          <a:ext cx="510540" cy="510540"/>
        </a:xfrm>
        <a:prstGeom prst="rect">
          <a:avLst/>
        </a:prstGeom>
      </xdr:spPr>
    </xdr:pic>
    <xdr:clientData/>
  </xdr:twoCellAnchor>
  <xdr:twoCellAnchor>
    <xdr:from>
      <xdr:col>0</xdr:col>
      <xdr:colOff>76200</xdr:colOff>
      <xdr:row>0</xdr:row>
      <xdr:rowOff>91440</xdr:rowOff>
    </xdr:from>
    <xdr:to>
      <xdr:col>14</xdr:col>
      <xdr:colOff>518160</xdr:colOff>
      <xdr:row>18</xdr:row>
      <xdr:rowOff>137160</xdr:rowOff>
    </xdr:to>
    <xdr:graphicFrame macro="">
      <xdr:nvGraphicFramePr>
        <xdr:cNvPr id="4" name="Chart 3">
          <a:extLst>
            <a:ext uri="{FF2B5EF4-FFF2-40B4-BE49-F238E27FC236}">
              <a16:creationId xmlns:a16="http://schemas.microsoft.com/office/drawing/2014/main" id="{5815957F-2268-4410-AF36-4DF7119D9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99060</xdr:colOff>
      <xdr:row>0</xdr:row>
      <xdr:rowOff>83820</xdr:rowOff>
    </xdr:from>
    <xdr:to>
      <xdr:col>14</xdr:col>
      <xdr:colOff>457200</xdr:colOff>
      <xdr:row>18</xdr:row>
      <xdr:rowOff>76200</xdr:rowOff>
    </xdr:to>
    <xdr:graphicFrame macro="">
      <xdr:nvGraphicFramePr>
        <xdr:cNvPr id="2" name="Chart 1">
          <a:extLst>
            <a:ext uri="{FF2B5EF4-FFF2-40B4-BE49-F238E27FC236}">
              <a16:creationId xmlns:a16="http://schemas.microsoft.com/office/drawing/2014/main" id="{B75BCE0B-209F-4CEE-A15D-366A7734C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45720</xdr:colOff>
      <xdr:row>19</xdr:row>
      <xdr:rowOff>114300</xdr:rowOff>
    </xdr:from>
    <xdr:to>
      <xdr:col>8</xdr:col>
      <xdr:colOff>556260</xdr:colOff>
      <xdr:row>22</xdr:row>
      <xdr:rowOff>76200</xdr:rowOff>
    </xdr:to>
    <xdr:pic>
      <xdr:nvPicPr>
        <xdr:cNvPr id="5" name="Graphic 4" descr="Rewind with solid fill">
          <a:hlinkClick xmlns:r="http://schemas.openxmlformats.org/officeDocument/2006/relationships" r:id="rId2"/>
          <a:extLst>
            <a:ext uri="{FF2B5EF4-FFF2-40B4-BE49-F238E27FC236}">
              <a16:creationId xmlns:a16="http://schemas.microsoft.com/office/drawing/2014/main" id="{5E8A15A2-8814-46FA-869E-CA80DCFD31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22520" y="3589020"/>
          <a:ext cx="510540" cy="5105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114300</xdr:colOff>
      <xdr:row>0</xdr:row>
      <xdr:rowOff>99060</xdr:rowOff>
    </xdr:from>
    <xdr:to>
      <xdr:col>14</xdr:col>
      <xdr:colOff>472440</xdr:colOff>
      <xdr:row>18</xdr:row>
      <xdr:rowOff>91440</xdr:rowOff>
    </xdr:to>
    <xdr:graphicFrame macro="">
      <xdr:nvGraphicFramePr>
        <xdr:cNvPr id="2" name="Chart 1">
          <a:extLst>
            <a:ext uri="{FF2B5EF4-FFF2-40B4-BE49-F238E27FC236}">
              <a16:creationId xmlns:a16="http://schemas.microsoft.com/office/drawing/2014/main" id="{C1A8A080-7D10-4588-9B4B-46F18BAFD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335280</xdr:colOff>
      <xdr:row>19</xdr:row>
      <xdr:rowOff>106680</xdr:rowOff>
    </xdr:from>
    <xdr:to>
      <xdr:col>9</xdr:col>
      <xdr:colOff>41910</xdr:colOff>
      <xdr:row>22</xdr:row>
      <xdr:rowOff>175260</xdr:rowOff>
    </xdr:to>
    <xdr:pic>
      <xdr:nvPicPr>
        <xdr:cNvPr id="3" name="Graphic 2" descr="Rewind with solid fill">
          <a:hlinkClick xmlns:r="http://schemas.openxmlformats.org/officeDocument/2006/relationships" r:id="rId2"/>
          <a:extLst>
            <a:ext uri="{FF2B5EF4-FFF2-40B4-BE49-F238E27FC236}">
              <a16:creationId xmlns:a16="http://schemas.microsoft.com/office/drawing/2014/main" id="{89DF10ED-E9DC-4873-BFE2-32B0DA8E14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02480" y="3581400"/>
          <a:ext cx="925830" cy="6172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3173032409" createdVersion="5" refreshedVersion="8" minRefreshableVersion="3" recordCount="0" supportSubquery="1" supportAdvancedDrill="1" xr:uid="{CF950E62-95F6-4C97-981E-9F1F297465E0}">
  <cacheSource type="external" connectionId="3"/>
  <cacheFields count="4">
    <cacheField name="[Measures].[Count of Patient Id]" caption="Count of Patient Id" numFmtId="0" hierarchy="23" level="32767"/>
    <cacheField name="[Calender_Query].[Date].[Date]" caption="Date" numFmtId="0" level="1">
      <sharedItems containsSemiMixedTypes="0" containsNonDate="0" containsDate="1" containsString="0" minDate="2023-02-04T00:00:00" maxDate="2023-02-13T00:00:00" count="9">
        <d v="2023-02-04T00:00:00"/>
        <d v="2023-02-05T00:00:00"/>
        <d v="2023-02-06T00:00:00"/>
        <d v="2023-02-07T00:00:00"/>
        <d v="2023-02-08T00:00:00"/>
        <d v="2023-02-09T00:00:00"/>
        <d v="2023-02-10T00:00:00"/>
        <d v="2023-02-11T00:00:00"/>
        <d v="2023-02-12T00:00:00"/>
      </sharedItems>
    </cacheField>
    <cacheField name="[Calender_Query].[Date (Month)].[Date (Month)]" caption="Date (Month)" numFmtId="0" hierarchy="1" level="1">
      <sharedItems containsSemiMixedTypes="0" containsNonDate="0" containsString="0"/>
    </cacheField>
    <cacheField name="[Calender_Query].[Date (Year)].[Date (Year)]" caption="Date (Year)" numFmtId="0" hierarchy="3" level="1">
      <sharedItems containsSemiMixedTypes="0" containsNonDate="0" containsString="0"/>
    </cacheField>
  </cacheFields>
  <cacheHierarchies count="34">
    <cacheHierarchy uniqueName="[Calender_Query].[Date]" caption="Date" attribute="1" time="1" defaultMemberUniqueName="[Calender_Query].[Date].[All]" allUniqueName="[Calender_Query].[Date].[All]" dimensionUniqueName="[Calender_Query]" displayFolder="" count="2" memberValueDatatype="7" unbalanced="0">
      <fieldsUsage count="2">
        <fieldUsage x="-1"/>
        <fieldUsage x="1"/>
      </fieldsUsage>
    </cacheHierarchy>
    <cacheHierarchy uniqueName="[Calender_Query].[Date (Month)]" caption="Date (Month)" attribute="1" defaultMemberUniqueName="[Calender_Query].[Date (Month)].[All]" allUniqueName="[Calender_Query].[Date (Month)].[All]" dimensionUniqueName="[Calender_Query]" displayFolder="" count="2" memberValueDatatype="130" unbalanced="0">
      <fieldsUsage count="2">
        <fieldUsage x="-1"/>
        <fieldUsage x="2"/>
      </fieldsUsage>
    </cacheHierarchy>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fieldsUsage count="2">
        <fieldUsage x="-1"/>
        <fieldUsage x="3"/>
      </fieldsUsage>
    </cacheHierarchy>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0" memberValueDatatype="130" unbalanced="0"/>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0" memberValueDatatype="130" unbalanced="0"/>
    <cacheHierarchy uniqueName="[Hospital 1].[Patient Admission Flag]" caption="Patient Admission Flag" attribute="1" defaultMemberUniqueName="[Hospital 1].[Patient Admission Flag].[All]" allUniqueName="[Hospital 1].[Patient Admission Flag].[All]" dimensionUniqueName="[Hospital 1]" displayFolder="" count="0" memberValueDatatype="130" unbalanced="0"/>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0" memberValueDatatype="130" unbalanced="0"/>
    <cacheHierarchy uniqueName="[Hospital 1].[.]" caption="." attribute="1" defaultMemberUniqueName="[Hospital 1].[.].[All]" allUniqueName="[Hospital 1].[.].[All]" dimensionUniqueName="[Hospital 1]" displayFolder="" count="0" memberValueDatatype="130" unbalanced="0"/>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hidden="1">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hidden="1">
      <extLst>
        <ext xmlns:x15="http://schemas.microsoft.com/office/spreadsheetml/2010/11/main" uri="{B97F6D7D-B522-45F9-BDA1-12C45D357490}">
          <x15:cacheHierarchy aggregatedColumn="9"/>
        </ext>
      </extLst>
    </cacheHierarchy>
  </cacheHierarchies>
  <kpis count="0"/>
  <dimensions count="3">
    <dimension name="Calender_Query" uniqueName="[Calender_Query]" caption="Calender_Query"/>
    <dimension name="Hospital 1" uniqueName="[Hospital 1]" caption="Hospital 1"/>
    <dimension measure="1" name="Measures" uniqueName="[Measures]" caption="Measures"/>
  </dimensions>
  <measureGroups count="2">
    <measureGroup name="Calender_Query" caption="Calender_Query"/>
    <measureGroup name="Hospital 1" caption="Hospital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3173263887" createdVersion="5" refreshedVersion="8" minRefreshableVersion="3" recordCount="0" supportSubquery="1" supportAdvancedDrill="1" xr:uid="{05C16C9D-56F2-4E1F-A88E-318B6BBFB521}">
  <cacheSource type="external" connectionId="3"/>
  <cacheFields count="3">
    <cacheField name="[Measures].[Count of Patient Id]" caption="Count of Patient Id" numFmtId="0" hierarchy="23" level="32767"/>
    <cacheField name="[Calender_Query].[Date (Month)].[Date (Month)]" caption="Date (Month)" numFmtId="0" hierarchy="1" level="1">
      <sharedItems containsSemiMixedTypes="0" containsNonDate="0" containsString="0"/>
    </cacheField>
    <cacheField name="[Calender_Query].[Date (Year)].[Date (Year)]" caption="Date (Year)" numFmtId="0" hierarchy="3" level="1">
      <sharedItems containsSemiMixedTypes="0" containsNonDate="0" containsString="0"/>
    </cacheField>
  </cacheFields>
  <cacheHierarchies count="34">
    <cacheHierarchy uniqueName="[Calender_Query].[Date]" caption="Date" attribute="1" time="1" defaultMemberUniqueName="[Calender_Query].[Date].[All]" allUniqueName="[Calender_Query].[Date].[All]" dimensionUniqueName="[Calender_Query]" displayFolder="" count="0" memberValueDatatype="7" unbalanced="0"/>
    <cacheHierarchy uniqueName="[Calender_Query].[Date (Month)]" caption="Date (Month)" attribute="1" defaultMemberUniqueName="[Calender_Query].[Date (Month)].[All]" allUniqueName="[Calender_Query].[Date (Month)].[All]" dimensionUniqueName="[Calender_Query]" displayFolder="" count="2" memberValueDatatype="130" unbalanced="0">
      <fieldsUsage count="2">
        <fieldUsage x="-1"/>
        <fieldUsage x="1"/>
      </fieldsUsage>
    </cacheHierarchy>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fieldsUsage count="2">
        <fieldUsage x="-1"/>
        <fieldUsage x="2"/>
      </fieldsUsage>
    </cacheHierarchy>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0" memberValueDatatype="130" unbalanced="0"/>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0" memberValueDatatype="130" unbalanced="0"/>
    <cacheHierarchy uniqueName="[Hospital 1].[Patient Admission Flag]" caption="Patient Admission Flag" attribute="1" defaultMemberUniqueName="[Hospital 1].[Patient Admission Flag].[All]" allUniqueName="[Hospital 1].[Patient Admission Flag].[All]" dimensionUniqueName="[Hospital 1]" displayFolder="" count="0" memberValueDatatype="130" unbalanced="0"/>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0" memberValueDatatype="130" unbalanced="0"/>
    <cacheHierarchy uniqueName="[Hospital 1].[.]" caption="." attribute="1" defaultMemberUniqueName="[Hospital 1].[.].[All]" allUniqueName="[Hospital 1].[.].[All]" dimensionUniqueName="[Hospital 1]" displayFolder="" count="0" memberValueDatatype="130" unbalanced="0"/>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hidden="1">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hidden="1">
      <extLst>
        <ext xmlns:x15="http://schemas.microsoft.com/office/spreadsheetml/2010/11/main" uri="{B97F6D7D-B522-45F9-BDA1-12C45D357490}">
          <x15:cacheHierarchy aggregatedColumn="9"/>
        </ext>
      </extLst>
    </cacheHierarchy>
  </cacheHierarchies>
  <kpis count="0"/>
  <dimensions count="3">
    <dimension name="Calender_Query" uniqueName="[Calender_Query]" caption="Calender_Query"/>
    <dimension name="Hospital 1" uniqueName="[Hospital 1]" caption="Hospital 1"/>
    <dimension measure="1" name="Measures" uniqueName="[Measures]" caption="Measures"/>
  </dimensions>
  <measureGroups count="2">
    <measureGroup name="Calender_Query" caption="Calender_Query"/>
    <measureGroup name="Hospital 1" caption="Hospital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3173263887" createdVersion="5" refreshedVersion="8" minRefreshableVersion="3" recordCount="0" supportSubquery="1" supportAdvancedDrill="1" xr:uid="{03748D62-BF2A-4D03-BB7D-1AF3F162AEF0}">
  <cacheSource type="external" connectionId="3"/>
  <cacheFields count="3">
    <cacheField name="[Measures].[Average of Patient Waittime]" caption="Average of Patient Waittime" numFmtId="0" hierarchy="25" level="32767"/>
    <cacheField name="[Calender_Query].[Date (Month)].[Date (Month)]" caption="Date (Month)" numFmtId="0" hierarchy="1" level="1">
      <sharedItems containsSemiMixedTypes="0" containsNonDate="0" containsString="0"/>
    </cacheField>
    <cacheField name="[Calender_Query].[Date (Year)].[Date (Year)]" caption="Date (Year)" numFmtId="0" hierarchy="3" level="1">
      <sharedItems containsSemiMixedTypes="0" containsNonDate="0" containsString="0"/>
    </cacheField>
  </cacheFields>
  <cacheHierarchies count="34">
    <cacheHierarchy uniqueName="[Calender_Query].[Date]" caption="Date" attribute="1" time="1" defaultMemberUniqueName="[Calender_Query].[Date].[All]" allUniqueName="[Calender_Query].[Date].[All]" dimensionUniqueName="[Calender_Query]" displayFolder="" count="0" memberValueDatatype="7" unbalanced="0"/>
    <cacheHierarchy uniqueName="[Calender_Query].[Date (Month)]" caption="Date (Month)" attribute="1" defaultMemberUniqueName="[Calender_Query].[Date (Month)].[All]" allUniqueName="[Calender_Query].[Date (Month)].[All]" dimensionUniqueName="[Calender_Query]" displayFolder="" count="2" memberValueDatatype="130" unbalanced="0">
      <fieldsUsage count="2">
        <fieldUsage x="-1"/>
        <fieldUsage x="1"/>
      </fieldsUsage>
    </cacheHierarchy>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fieldsUsage count="2">
        <fieldUsage x="-1"/>
        <fieldUsage x="2"/>
      </fieldsUsage>
    </cacheHierarchy>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0" memberValueDatatype="130" unbalanced="0"/>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0" memberValueDatatype="130" unbalanced="0"/>
    <cacheHierarchy uniqueName="[Hospital 1].[Patient Admission Flag]" caption="Patient Admission Flag" attribute="1" defaultMemberUniqueName="[Hospital 1].[Patient Admission Flag].[All]" allUniqueName="[Hospital 1].[Patient Admission Flag].[All]" dimensionUniqueName="[Hospital 1]" displayFolder="" count="0" memberValueDatatype="130" unbalanced="0"/>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0" memberValueDatatype="130" unbalanced="0"/>
    <cacheHierarchy uniqueName="[Hospital 1].[.]" caption="." attribute="1" defaultMemberUniqueName="[Hospital 1].[.].[All]" allUniqueName="[Hospital 1].[.].[All]" dimensionUniqueName="[Hospital 1]" displayFolder="" count="0" memberValueDatatype="130" unbalanced="0"/>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hidden="1">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hidden="1">
      <extLst>
        <ext xmlns:x15="http://schemas.microsoft.com/office/spreadsheetml/2010/11/main" uri="{B97F6D7D-B522-45F9-BDA1-12C45D357490}">
          <x15:cacheHierarchy aggregatedColumn="9"/>
        </ext>
      </extLst>
    </cacheHierarchy>
  </cacheHierarchies>
  <kpis count="0"/>
  <dimensions count="3">
    <dimension name="Calender_Query" uniqueName="[Calender_Query]" caption="Calender_Query"/>
    <dimension name="Hospital 1" uniqueName="[Hospital 1]" caption="Hospital 1"/>
    <dimension measure="1" name="Measures" uniqueName="[Measures]" caption="Measures"/>
  </dimensions>
  <measureGroups count="2">
    <measureGroup name="Calender_Query" caption="Calender_Query"/>
    <measureGroup name="Hospital 1" caption="Hospital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3173379633" createdVersion="5" refreshedVersion="8" minRefreshableVersion="3" recordCount="0" supportSubquery="1" supportAdvancedDrill="1" xr:uid="{267F0607-CBD8-4D3D-B72F-37964F3EED4A}">
  <cacheSource type="external" connectionId="3"/>
  <cacheFields count="3">
    <cacheField name="[Measures].[Average of Patient Satisfaction Score]" caption="Average of Patient Satisfaction Score" numFmtId="0" hierarchy="27" level="32767"/>
    <cacheField name="[Calender_Query].[Date (Month)].[Date (Month)]" caption="Date (Month)" numFmtId="0" hierarchy="1" level="1">
      <sharedItems containsSemiMixedTypes="0" containsNonDate="0" containsString="0"/>
    </cacheField>
    <cacheField name="[Calender_Query].[Date (Year)].[Date (Year)]" caption="Date (Year)" numFmtId="0" hierarchy="3" level="1">
      <sharedItems containsSemiMixedTypes="0" containsNonDate="0" containsString="0"/>
    </cacheField>
  </cacheFields>
  <cacheHierarchies count="34">
    <cacheHierarchy uniqueName="[Calender_Query].[Date]" caption="Date" attribute="1" time="1" defaultMemberUniqueName="[Calender_Query].[Date].[All]" allUniqueName="[Calender_Query].[Date].[All]" dimensionUniqueName="[Calender_Query]" displayFolder="" count="0" memberValueDatatype="7" unbalanced="0"/>
    <cacheHierarchy uniqueName="[Calender_Query].[Date (Month)]" caption="Date (Month)" attribute="1" defaultMemberUniqueName="[Calender_Query].[Date (Month)].[All]" allUniqueName="[Calender_Query].[Date (Month)].[All]" dimensionUniqueName="[Calender_Query]" displayFolder="" count="2" memberValueDatatype="130" unbalanced="0">
      <fieldsUsage count="2">
        <fieldUsage x="-1"/>
        <fieldUsage x="1"/>
      </fieldsUsage>
    </cacheHierarchy>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fieldsUsage count="2">
        <fieldUsage x="-1"/>
        <fieldUsage x="2"/>
      </fieldsUsage>
    </cacheHierarchy>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0" memberValueDatatype="130" unbalanced="0"/>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0" memberValueDatatype="130" unbalanced="0"/>
    <cacheHierarchy uniqueName="[Hospital 1].[Patient Admission Flag]" caption="Patient Admission Flag" attribute="1" defaultMemberUniqueName="[Hospital 1].[Patient Admission Flag].[All]" allUniqueName="[Hospital 1].[Patient Admission Flag].[All]" dimensionUniqueName="[Hospital 1]" displayFolder="" count="0" memberValueDatatype="130" unbalanced="0"/>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0" memberValueDatatype="130" unbalanced="0"/>
    <cacheHierarchy uniqueName="[Hospital 1].[.]" caption="." attribute="1" defaultMemberUniqueName="[Hospital 1].[.].[All]" allUniqueName="[Hospital 1].[.].[All]" dimensionUniqueName="[Hospital 1]" displayFolder="" count="0" memberValueDatatype="130" unbalanced="0"/>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hidden="1">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hidden="1">
      <extLst>
        <ext xmlns:x15="http://schemas.microsoft.com/office/spreadsheetml/2010/11/main" uri="{B97F6D7D-B522-45F9-BDA1-12C45D357490}">
          <x15:cacheHierarchy aggregatedColumn="9"/>
        </ext>
      </extLst>
    </cacheHierarchy>
  </cacheHierarchies>
  <kpis count="0"/>
  <dimensions count="3">
    <dimension name="Calender_Query" uniqueName="[Calender_Query]" caption="Calender_Query"/>
    <dimension name="Hospital 1" uniqueName="[Hospital 1]" caption="Hospital 1"/>
    <dimension measure="1" name="Measures" uniqueName="[Measures]" caption="Measures"/>
  </dimensions>
  <measureGroups count="2">
    <measureGroup name="Calender_Query" caption="Calender_Query"/>
    <measureGroup name="Hospital 1" caption="Hospital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3173842595" createdVersion="5" refreshedVersion="8" minRefreshableVersion="3" recordCount="0" supportSubquery="1" supportAdvancedDrill="1" xr:uid="{749D6CAB-B652-428D-B24C-02E42C1AEA0C}">
  <cacheSource type="external" connectionId="3"/>
  <cacheFields count="4">
    <cacheField name="[Calender_Query].[Date].[Date]" caption="Date" numFmtId="0" level="1">
      <sharedItems containsSemiMixedTypes="0" containsNonDate="0" containsDate="1" containsString="0" minDate="2023-02-04T00:00:00" maxDate="2023-02-13T00:00:00" count="9">
        <d v="2023-02-04T00:00:00"/>
        <d v="2023-02-05T00:00:00"/>
        <d v="2023-02-06T00:00:00"/>
        <d v="2023-02-07T00:00:00"/>
        <d v="2023-02-08T00:00:00"/>
        <d v="2023-02-09T00:00:00"/>
        <d v="2023-02-10T00:00:00"/>
        <d v="2023-02-11T00:00:00"/>
        <d v="2023-02-12T00:00:00"/>
      </sharedItems>
    </cacheField>
    <cacheField name="[Calender_Query].[Date (Month)].[Date (Month)]" caption="Date (Month)" numFmtId="0" hierarchy="1" level="1">
      <sharedItems containsSemiMixedTypes="0" containsNonDate="0" containsString="0"/>
    </cacheField>
    <cacheField name="[Measures].[Sum of Patient Waittime]" caption="Sum of Patient Waittime" numFmtId="0" hierarchy="24" level="32767"/>
    <cacheField name="[Calender_Query].[Date (Year)].[Date (Year)]" caption="Date (Year)" numFmtId="0" hierarchy="3" level="1">
      <sharedItems containsSemiMixedTypes="0" containsNonDate="0" containsString="0"/>
    </cacheField>
  </cacheFields>
  <cacheHierarchies count="34">
    <cacheHierarchy uniqueName="[Calender_Query].[Date]" caption="Date" attribute="1" time="1" defaultMemberUniqueName="[Calender_Query].[Date].[All]" allUniqueName="[Calender_Query].[Date].[All]" dimensionUniqueName="[Calender_Query]" displayFolder="" count="2" memberValueDatatype="7" unbalanced="0">
      <fieldsUsage count="2">
        <fieldUsage x="-1"/>
        <fieldUsage x="0"/>
      </fieldsUsage>
    </cacheHierarchy>
    <cacheHierarchy uniqueName="[Calender_Query].[Date (Month)]" caption="Date (Month)" attribute="1" defaultMemberUniqueName="[Calender_Query].[Date (Month)].[All]" allUniqueName="[Calender_Query].[Date (Month)].[All]" dimensionUniqueName="[Calender_Query]" displayFolder="" count="2" memberValueDatatype="130" unbalanced="0">
      <fieldsUsage count="2">
        <fieldUsage x="-1"/>
        <fieldUsage x="1"/>
      </fieldsUsage>
    </cacheHierarchy>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fieldsUsage count="2">
        <fieldUsage x="-1"/>
        <fieldUsage x="3"/>
      </fieldsUsage>
    </cacheHierarchy>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0" memberValueDatatype="130" unbalanced="0"/>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0" memberValueDatatype="130" unbalanced="0"/>
    <cacheHierarchy uniqueName="[Hospital 1].[Patient Admission Flag]" caption="Patient Admission Flag" attribute="1" defaultMemberUniqueName="[Hospital 1].[Patient Admission Flag].[All]" allUniqueName="[Hospital 1].[Patient Admission Flag].[All]" dimensionUniqueName="[Hospital 1]" displayFolder="" count="0" memberValueDatatype="130" unbalanced="0"/>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0" memberValueDatatype="130" unbalanced="0"/>
    <cacheHierarchy uniqueName="[Hospital 1].[.]" caption="." attribute="1" defaultMemberUniqueName="[Hospital 1].[.].[All]" allUniqueName="[Hospital 1].[.].[All]" dimensionUniqueName="[Hospital 1]" displayFolder="" count="0" memberValueDatatype="130" unbalanced="0"/>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hidden="1">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hidden="1">
      <extLst>
        <ext xmlns:x15="http://schemas.microsoft.com/office/spreadsheetml/2010/11/main" uri="{B97F6D7D-B522-45F9-BDA1-12C45D357490}">
          <x15:cacheHierarchy aggregatedColumn="9"/>
        </ext>
      </extLst>
    </cacheHierarchy>
  </cacheHierarchies>
  <kpis count="0"/>
  <dimensions count="3">
    <dimension name="Calender_Query" uniqueName="[Calender_Query]" caption="Calender_Query"/>
    <dimension name="Hospital 1" uniqueName="[Hospital 1]" caption="Hospital 1"/>
    <dimension measure="1" name="Measures" uniqueName="[Measures]" caption="Measures"/>
  </dimensions>
  <measureGroups count="2">
    <measureGroup name="Calender_Query" caption="Calender_Query"/>
    <measureGroup name="Hospital 1" caption="Hospital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3174189818" createdVersion="5" refreshedVersion="8" minRefreshableVersion="3" recordCount="0" supportSubquery="1" supportAdvancedDrill="1" xr:uid="{B0FAD09A-0196-441F-90A3-114299B6EFE0}">
  <cacheSource type="external" connectionId="3"/>
  <cacheFields count="4">
    <cacheField name="[Calender_Query].[Date].[Date]" caption="Date" numFmtId="0" level="1">
      <sharedItems containsSemiMixedTypes="0" containsNonDate="0" containsDate="1" containsString="0" minDate="2023-02-04T00:00:00" maxDate="2023-02-13T00:00:00" count="9">
        <d v="2023-02-04T00:00:00"/>
        <d v="2023-02-05T00:00:00"/>
        <d v="2023-02-06T00:00:00"/>
        <d v="2023-02-07T00:00:00"/>
        <d v="2023-02-08T00:00:00"/>
        <d v="2023-02-09T00:00:00"/>
        <d v="2023-02-10T00:00:00"/>
        <d v="2023-02-11T00:00:00"/>
        <d v="2023-02-12T00:00:00"/>
      </sharedItems>
    </cacheField>
    <cacheField name="[Calender_Query].[Date (Month)].[Date (Month)]" caption="Date (Month)" numFmtId="0" hierarchy="1" level="1">
      <sharedItems containsSemiMixedTypes="0" containsNonDate="0" containsString="0"/>
    </cacheField>
    <cacheField name="[Measures].[Sum of Patient Satisfaction Score]" caption="Sum of Patient Satisfaction Score" numFmtId="0" hierarchy="26" level="32767"/>
    <cacheField name="[Calender_Query].[Date (Year)].[Date (Year)]" caption="Date (Year)" numFmtId="0" hierarchy="3" level="1">
      <sharedItems containsSemiMixedTypes="0" containsNonDate="0" containsString="0"/>
    </cacheField>
  </cacheFields>
  <cacheHierarchies count="34">
    <cacheHierarchy uniqueName="[Calender_Query].[Date]" caption="Date" attribute="1" time="1" defaultMemberUniqueName="[Calender_Query].[Date].[All]" allUniqueName="[Calender_Query].[Date].[All]" dimensionUniqueName="[Calender_Query]" displayFolder="" count="2" memberValueDatatype="7" unbalanced="0">
      <fieldsUsage count="2">
        <fieldUsage x="-1"/>
        <fieldUsage x="0"/>
      </fieldsUsage>
    </cacheHierarchy>
    <cacheHierarchy uniqueName="[Calender_Query].[Date (Month)]" caption="Date (Month)" attribute="1" defaultMemberUniqueName="[Calender_Query].[Date (Month)].[All]" allUniqueName="[Calender_Query].[Date (Month)].[All]" dimensionUniqueName="[Calender_Query]" displayFolder="" count="2" memberValueDatatype="130" unbalanced="0">
      <fieldsUsage count="2">
        <fieldUsage x="-1"/>
        <fieldUsage x="1"/>
      </fieldsUsage>
    </cacheHierarchy>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fieldsUsage count="2">
        <fieldUsage x="-1"/>
        <fieldUsage x="3"/>
      </fieldsUsage>
    </cacheHierarchy>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0" memberValueDatatype="130" unbalanced="0"/>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0" memberValueDatatype="130" unbalanced="0"/>
    <cacheHierarchy uniqueName="[Hospital 1].[Patient Admission Flag]" caption="Patient Admission Flag" attribute="1" defaultMemberUniqueName="[Hospital 1].[Patient Admission Flag].[All]" allUniqueName="[Hospital 1].[Patient Admission Flag].[All]" dimensionUniqueName="[Hospital 1]" displayFolder="" count="0" memberValueDatatype="130" unbalanced="0"/>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0" memberValueDatatype="130" unbalanced="0"/>
    <cacheHierarchy uniqueName="[Hospital 1].[.]" caption="." attribute="1" defaultMemberUniqueName="[Hospital 1].[.].[All]" allUniqueName="[Hospital 1].[.].[All]" dimensionUniqueName="[Hospital 1]" displayFolder="" count="0" memberValueDatatype="130" unbalanced="0"/>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hidden="1">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hidden="1">
      <extLst>
        <ext xmlns:x15="http://schemas.microsoft.com/office/spreadsheetml/2010/11/main" uri="{B97F6D7D-B522-45F9-BDA1-12C45D357490}">
          <x15:cacheHierarchy aggregatedColumn="9"/>
        </ext>
      </extLst>
    </cacheHierarchy>
  </cacheHierarchies>
  <kpis count="0"/>
  <dimensions count="3">
    <dimension name="Calender_Query" uniqueName="[Calender_Query]" caption="Calender_Query"/>
    <dimension name="Hospital 1" uniqueName="[Hospital 1]" caption="Hospital 1"/>
    <dimension measure="1" name="Measures" uniqueName="[Measures]" caption="Measures"/>
  </dimensions>
  <measureGroups count="2">
    <measureGroup name="Calender_Query" caption="Calender_Query"/>
    <measureGroup name="Hospital 1" caption="Hospital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3174537034" createdVersion="5" refreshedVersion="8" minRefreshableVersion="3" recordCount="0" supportSubquery="1" supportAdvancedDrill="1" xr:uid="{E985E44B-EC61-4878-BC8A-0FBE4F38CECA}">
  <cacheSource type="external" connectionId="3"/>
  <cacheFields count="5">
    <cacheField name="[Calender_Query].[Date (Month)].[Date (Month)]" caption="Date (Month)" numFmtId="0" hierarchy="1" level="1">
      <sharedItems containsSemiMixedTypes="0" containsNonDate="0" containsString="0"/>
    </cacheField>
    <cacheField name="[Measures].[Count of Patient Admission Flag]" caption="Count of Patient Admission Flag" numFmtId="0" hierarchy="28" level="32767"/>
    <cacheField name="[Hospital 1].[Patient Admission Flag].[Patient Admission Flag]" caption="Patient Admission Flag" numFmtId="0" hierarchy="13" level="1">
      <sharedItems count="2">
        <s v="Admission"/>
        <s v="Not Admission"/>
      </sharedItems>
    </cacheField>
    <cacheField name="[Calender_Query].[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Query].[Date]" caption="Date" attribute="1" time="1" defaultMemberUniqueName="[Calender_Query].[Date].[All]" allUniqueName="[Calender_Query].[Date].[All]" dimensionUniqueName="[Calender_Query]" displayFolder="" count="0" memberValueDatatype="7" unbalanced="0"/>
    <cacheHierarchy uniqueName="[Calender_Query].[Date (Month)]" caption="Date (Month)" attribute="1" defaultMemberUniqueName="[Calender_Query].[Date (Month)].[All]" allUniqueName="[Calender_Query].[Date (Month)].[All]" dimensionUniqueName="[Calender_Query]" displayFolder="" count="2" memberValueDatatype="130" unbalanced="0">
      <fieldsUsage count="2">
        <fieldUsage x="-1"/>
        <fieldUsage x="0"/>
      </fieldsUsage>
    </cacheHierarchy>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fieldsUsage count="2">
        <fieldUsage x="-1"/>
        <fieldUsage x="3"/>
      </fieldsUsage>
    </cacheHierarchy>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0" memberValueDatatype="130" unbalanced="0"/>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0" memberValueDatatype="130" unbalanced="0"/>
    <cacheHierarchy uniqueName="[Hospital 1].[Patient Admission Flag]" caption="Patient Admission Flag" attribute="1" defaultMemberUniqueName="[Hospital 1].[Patient Admission Flag].[All]" allUniqueName="[Hospital 1].[Patient Admission Flag].[All]" dimensionUniqueName="[Hospital 1]" displayFolder="" count="2" memberValueDatatype="130" unbalanced="0">
      <fieldsUsage count="2">
        <fieldUsage x="-1"/>
        <fieldUsage x="2"/>
      </fieldsUsage>
    </cacheHierarchy>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0" memberValueDatatype="130" unbalanced="0"/>
    <cacheHierarchy uniqueName="[Hospital 1].[.]" caption="." attribute="1" defaultMemberUniqueName="[Hospital 1].[.].[All]" allUniqueName="[Hospital 1].[.].[All]" dimensionUniqueName="[Hospital 1]" displayFolder="" count="0" memberValueDatatype="130" unbalanced="0"/>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hidden="1">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hidden="1">
      <extLst>
        <ext xmlns:x15="http://schemas.microsoft.com/office/spreadsheetml/2010/11/main" uri="{B97F6D7D-B522-45F9-BDA1-12C45D357490}">
          <x15:cacheHierarchy aggregatedColumn="9"/>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Query" uniqueName="[Calender_Query]" caption="Calender_Query"/>
    <dimension name="Hospital 1" uniqueName="[Hospital 1]" caption="Hospital 1"/>
    <dimension measure="1" name="Measures" uniqueName="[Measures]" caption="Measures"/>
  </dimensions>
  <measureGroups count="2">
    <measureGroup name="Calender_Query" caption="Calender_Query"/>
    <measureGroup name="Hospital 1" caption="Hospital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3174884257" createdVersion="5" refreshedVersion="8" minRefreshableVersion="3" recordCount="0" supportSubquery="1" supportAdvancedDrill="1" xr:uid="{4B83C5CD-9EED-4ADA-A539-561F69690BED}">
  <cacheSource type="external" connectionId="3"/>
  <cacheFields count="4">
    <cacheField name="[Calender_Query].[Date (Month)].[Date (Month)]" caption="Date (Month)" numFmtId="0" hierarchy="1" level="1">
      <sharedItems containsSemiMixedTypes="0" containsNonDate="0" containsString="0"/>
    </cacheField>
    <cacheField name="[Measures].[Count of Age_Group]" caption="Count of Age_Group" numFmtId="0" hierarchy="30" level="32767"/>
    <cacheField name="[Hospital 1].[Age_Group].[Age_Group]" caption="Age_Group" numFmtId="0" hierarchy="16" level="1">
      <sharedItems count="8">
        <s v="0-09"/>
        <s v="10-19"/>
        <s v="20-29"/>
        <s v="30-39"/>
        <s v="40-49"/>
        <s v="50-59"/>
        <s v="60-69"/>
        <s v="70-79"/>
      </sharedItems>
    </cacheField>
    <cacheField name="[Calender_Query].[Date (Year)].[Date (Year)]" caption="Date (Year)" numFmtId="0" hierarchy="3" level="1">
      <sharedItems containsSemiMixedTypes="0" containsNonDate="0" containsString="0"/>
    </cacheField>
  </cacheFields>
  <cacheHierarchies count="34">
    <cacheHierarchy uniqueName="[Calender_Query].[Date]" caption="Date" attribute="1" time="1" defaultMemberUniqueName="[Calender_Query].[Date].[All]" allUniqueName="[Calender_Query].[Date].[All]" dimensionUniqueName="[Calender_Query]" displayFolder="" count="0" memberValueDatatype="7" unbalanced="0"/>
    <cacheHierarchy uniqueName="[Calender_Query].[Date (Month)]" caption="Date (Month)" attribute="1" defaultMemberUniqueName="[Calender_Query].[Date (Month)].[All]" allUniqueName="[Calender_Query].[Date (Month)].[All]" dimensionUniqueName="[Calender_Query]" displayFolder="" count="2" memberValueDatatype="130" unbalanced="0">
      <fieldsUsage count="2">
        <fieldUsage x="-1"/>
        <fieldUsage x="0"/>
      </fieldsUsage>
    </cacheHierarchy>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fieldsUsage count="2">
        <fieldUsage x="-1"/>
        <fieldUsage x="3"/>
      </fieldsUsage>
    </cacheHierarchy>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0" memberValueDatatype="130" unbalanced="0"/>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0" memberValueDatatype="130" unbalanced="0"/>
    <cacheHierarchy uniqueName="[Hospital 1].[Patient Admission Flag]" caption="Patient Admission Flag" attribute="1" defaultMemberUniqueName="[Hospital 1].[Patient Admission Flag].[All]" allUniqueName="[Hospital 1].[Patient Admission Flag].[All]" dimensionUniqueName="[Hospital 1]" displayFolder="" count="0" memberValueDatatype="130" unbalanced="0"/>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2" memberValueDatatype="130" unbalanced="0">
      <fieldsUsage count="2">
        <fieldUsage x="-1"/>
        <fieldUsage x="2"/>
      </fieldsUsage>
    </cacheHierarchy>
    <cacheHierarchy uniqueName="[Hospital 1].[.]" caption="." attribute="1" defaultMemberUniqueName="[Hospital 1].[.].[All]" allUniqueName="[Hospital 1].[.].[All]" dimensionUniqueName="[Hospital 1]" displayFolder="" count="0" memberValueDatatype="130" unbalanced="0"/>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hidden="1">
      <extLst>
        <ext xmlns:x15="http://schemas.microsoft.com/office/spreadsheetml/2010/11/main" uri="{B97F6D7D-B522-45F9-BDA1-12C45D357490}">
          <x15:cacheHierarchy aggregatedColumn="9"/>
        </ext>
      </extLst>
    </cacheHierarchy>
  </cacheHierarchies>
  <kpis count="0"/>
  <dimensions count="3">
    <dimension name="Calender_Query" uniqueName="[Calender_Query]" caption="Calender_Query"/>
    <dimension name="Hospital 1" uniqueName="[Hospital 1]" caption="Hospital 1"/>
    <dimension measure="1" name="Measures" uniqueName="[Measures]" caption="Measures"/>
  </dimensions>
  <measureGroups count="2">
    <measureGroup name="Calender_Query" caption="Calender_Query"/>
    <measureGroup name="Hospital 1" caption="Hospital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317523148" createdVersion="5" refreshedVersion="8" minRefreshableVersion="3" recordCount="0" supportSubquery="1" supportAdvancedDrill="1" xr:uid="{20B013FC-D9E3-4CFF-AFA3-059AC56BE337}">
  <cacheSource type="external" connectionId="3"/>
  <cacheFields count="4">
    <cacheField name="[Calender_Query].[Date (Month)].[Date (Month)]" caption="Date (Month)" numFmtId="0" hierarchy="1" level="1">
      <sharedItems containsSemiMixedTypes="0" containsNonDate="0" containsString="0"/>
    </cacheField>
    <cacheField name="[Measures].[Count of .]" caption="Count of ." numFmtId="0" hierarchy="31" level="32767"/>
    <cacheField name="[Hospital 1].[.].[.]" caption="." numFmtId="0" hierarchy="17" level="1">
      <sharedItems count="2">
        <s v="غير متأخرين"/>
        <s v="متأخرين"/>
      </sharedItems>
    </cacheField>
    <cacheField name="[Calender_Query].[Date (Year)].[Date (Year)]" caption="Date (Year)" numFmtId="0" hierarchy="3" level="1">
      <sharedItems containsSemiMixedTypes="0" containsNonDate="0" containsString="0"/>
    </cacheField>
  </cacheFields>
  <cacheHierarchies count="34">
    <cacheHierarchy uniqueName="[Calender_Query].[Date]" caption="Date" attribute="1" time="1" defaultMemberUniqueName="[Calender_Query].[Date].[All]" allUniqueName="[Calender_Query].[Date].[All]" dimensionUniqueName="[Calender_Query]" displayFolder="" count="0" memberValueDatatype="7" unbalanced="0"/>
    <cacheHierarchy uniqueName="[Calender_Query].[Date (Month)]" caption="Date (Month)" attribute="1" defaultMemberUniqueName="[Calender_Query].[Date (Month)].[All]" allUniqueName="[Calender_Query].[Date (Month)].[All]" dimensionUniqueName="[Calender_Query]" displayFolder="" count="2" memberValueDatatype="130" unbalanced="0">
      <fieldsUsage count="2">
        <fieldUsage x="-1"/>
        <fieldUsage x="0"/>
      </fieldsUsage>
    </cacheHierarchy>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fieldsUsage count="2">
        <fieldUsage x="-1"/>
        <fieldUsage x="3"/>
      </fieldsUsage>
    </cacheHierarchy>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0" memberValueDatatype="130" unbalanced="0"/>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0" memberValueDatatype="130" unbalanced="0"/>
    <cacheHierarchy uniqueName="[Hospital 1].[Patient Admission Flag]" caption="Patient Admission Flag" attribute="1" defaultMemberUniqueName="[Hospital 1].[Patient Admission Flag].[All]" allUniqueName="[Hospital 1].[Patient Admission Flag].[All]" dimensionUniqueName="[Hospital 1]" displayFolder="" count="0" memberValueDatatype="130" unbalanced="0"/>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0" memberValueDatatype="130" unbalanced="0"/>
    <cacheHierarchy uniqueName="[Hospital 1].[.]" caption="." attribute="1" defaultMemberUniqueName="[Hospital 1].[.].[All]" allUniqueName="[Hospital 1].[.].[All]" dimensionUniqueName="[Hospital 1]" displayFolder="" count="2" memberValueDatatype="130" unbalanced="0">
      <fieldsUsage count="2">
        <fieldUsage x="-1"/>
        <fieldUsage x="2"/>
      </fieldsUsage>
    </cacheHierarchy>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hidden="1">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hidden="1">
      <extLst>
        <ext xmlns:x15="http://schemas.microsoft.com/office/spreadsheetml/2010/11/main" uri="{B97F6D7D-B522-45F9-BDA1-12C45D357490}">
          <x15:cacheHierarchy aggregatedColumn="9"/>
        </ext>
      </extLst>
    </cacheHierarchy>
  </cacheHierarchies>
  <kpis count="0"/>
  <dimensions count="3">
    <dimension name="Calender_Query" uniqueName="[Calender_Query]" caption="Calender_Query"/>
    <dimension name="Hospital 1" uniqueName="[Hospital 1]" caption="Hospital 1"/>
    <dimension measure="1" name="Measures" uniqueName="[Measures]" caption="Measures"/>
  </dimensions>
  <measureGroups count="2">
    <measureGroup name="Calender_Query" caption="Calender_Query"/>
    <measureGroup name="Hospital 1" caption="Hospital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3175578704" createdVersion="5" refreshedVersion="8" minRefreshableVersion="3" recordCount="0" supportSubquery="1" supportAdvancedDrill="1" xr:uid="{BB39412D-0E6D-4A83-8D24-CAED8CA00780}">
  <cacheSource type="external" connectionId="3"/>
  <cacheFields count="4">
    <cacheField name="[Calender_Query].[Date (Month)].[Date (Month)]" caption="Date (Month)" numFmtId="0" hierarchy="1" level="1">
      <sharedItems containsSemiMixedTypes="0" containsNonDate="0" containsString="0"/>
    </cacheField>
    <cacheField name="[Measures].[Count of Department Referral]" caption="Count of Department Referral" numFmtId="0" hierarchy="32" level="32767"/>
    <cacheField name="[Hospital 1].[Department Referral].[Department Referral]" caption="Department Referral" numFmtId="0" hierarchy="12" level="1">
      <sharedItems count="8">
        <s v="الطب العام"/>
        <s v="العلاج الطبيعي"/>
        <s v="جراحة عظام"/>
        <s v="طب الأعصاب"/>
        <s v="طب الجهاز الهضمي"/>
        <s v="طب القلب"/>
        <s v="طب الكلى"/>
        <s v="مراجعة / مختبر"/>
      </sharedItems>
    </cacheField>
    <cacheField name="[Calender_Query].[Date (Year)].[Date (Year)]" caption="Date (Year)" numFmtId="0" hierarchy="3" level="1">
      <sharedItems containsSemiMixedTypes="0" containsNonDate="0" containsString="0"/>
    </cacheField>
  </cacheFields>
  <cacheHierarchies count="34">
    <cacheHierarchy uniqueName="[Calender_Query].[Date]" caption="Date" attribute="1" time="1" defaultMemberUniqueName="[Calender_Query].[Date].[All]" allUniqueName="[Calender_Query].[Date].[All]" dimensionUniqueName="[Calender_Query]" displayFolder="" count="0" memberValueDatatype="7" unbalanced="0"/>
    <cacheHierarchy uniqueName="[Calender_Query].[Date (Month)]" caption="Date (Month)" attribute="1" defaultMemberUniqueName="[Calender_Query].[Date (Month)].[All]" allUniqueName="[Calender_Query].[Date (Month)].[All]" dimensionUniqueName="[Calender_Query]" displayFolder="" count="2" memberValueDatatype="130" unbalanced="0">
      <fieldsUsage count="2">
        <fieldUsage x="-1"/>
        <fieldUsage x="0"/>
      </fieldsUsage>
    </cacheHierarchy>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fieldsUsage count="2">
        <fieldUsage x="-1"/>
        <fieldUsage x="3"/>
      </fieldsUsage>
    </cacheHierarchy>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0" memberValueDatatype="130" unbalanced="0"/>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2" memberValueDatatype="130" unbalanced="0">
      <fieldsUsage count="2">
        <fieldUsage x="-1"/>
        <fieldUsage x="2"/>
      </fieldsUsage>
    </cacheHierarchy>
    <cacheHierarchy uniqueName="[Hospital 1].[Patient Admission Flag]" caption="Patient Admission Flag" attribute="1" defaultMemberUniqueName="[Hospital 1].[Patient Admission Flag].[All]" allUniqueName="[Hospital 1].[Patient Admission Flag].[All]" dimensionUniqueName="[Hospital 1]" displayFolder="" count="0" memberValueDatatype="130" unbalanced="0"/>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0" memberValueDatatype="130" unbalanced="0"/>
    <cacheHierarchy uniqueName="[Hospital 1].[.]" caption="." attribute="1" defaultMemberUniqueName="[Hospital 1].[.].[All]" allUniqueName="[Hospital 1].[.].[All]" dimensionUniqueName="[Hospital 1]" displayFolder="" count="0" memberValueDatatype="130" unbalanced="0"/>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hidden="1">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hidden="1">
      <extLst>
        <ext xmlns:x15="http://schemas.microsoft.com/office/spreadsheetml/2010/11/main" uri="{B97F6D7D-B522-45F9-BDA1-12C45D357490}">
          <x15:cacheHierarchy aggregatedColumn="9"/>
        </ext>
      </extLst>
    </cacheHierarchy>
  </cacheHierarchies>
  <kpis count="0"/>
  <dimensions count="3">
    <dimension name="Calender_Query" uniqueName="[Calender_Query]" caption="Calender_Query"/>
    <dimension name="Hospital 1" uniqueName="[Hospital 1]" caption="Hospital 1"/>
    <dimension measure="1" name="Measures" uniqueName="[Measures]" caption="Measures"/>
  </dimensions>
  <measureGroups count="2">
    <measureGroup name="Calender_Query" caption="Calender_Query"/>
    <measureGroup name="Hospital 1" caption="Hospital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3175925927" createdVersion="5" refreshedVersion="8" minRefreshableVersion="3" recordCount="0" supportSubquery="1" supportAdvancedDrill="1" xr:uid="{1E7FED0E-63A9-4123-BB24-7FCA72D1E7FD}">
  <cacheSource type="external" connectionId="3"/>
  <cacheFields count="4">
    <cacheField name="[Calender_Query].[Date (Month)].[Date (Month)]" caption="Date (Month)" numFmtId="0" hierarchy="1" level="1">
      <sharedItems containsSemiMixedTypes="0" containsNonDate="0" containsString="0"/>
    </cacheField>
    <cacheField name="[Measures].[Count of Patient Gender]" caption="Count of Patient Gender" numFmtId="0" hierarchy="33" level="32767"/>
    <cacheField name="[Hospital 1].[Patient Gender].[Patient Gender]" caption="Patient Gender" numFmtId="0" hierarchy="9" level="1">
      <sharedItems count="2">
        <s v="أنثى"/>
        <s v="ذكر"/>
      </sharedItems>
    </cacheField>
    <cacheField name="[Calender_Query].[Date (Year)].[Date (Year)]" caption="Date (Year)" numFmtId="0" hierarchy="3" level="1">
      <sharedItems containsSemiMixedTypes="0" containsNonDate="0" containsString="0"/>
    </cacheField>
  </cacheFields>
  <cacheHierarchies count="34">
    <cacheHierarchy uniqueName="[Calender_Query].[Date]" caption="Date" attribute="1" time="1" defaultMemberUniqueName="[Calender_Query].[Date].[All]" allUniqueName="[Calender_Query].[Date].[All]" dimensionUniqueName="[Calender_Query]" displayFolder="" count="0" memberValueDatatype="7" unbalanced="0"/>
    <cacheHierarchy uniqueName="[Calender_Query].[Date (Month)]" caption="Date (Month)" attribute="1" defaultMemberUniqueName="[Calender_Query].[Date (Month)].[All]" allUniqueName="[Calender_Query].[Date (Month)].[All]" dimensionUniqueName="[Calender_Query]" displayFolder="" count="2" memberValueDatatype="130" unbalanced="0">
      <fieldsUsage count="2">
        <fieldUsage x="-1"/>
        <fieldUsage x="0"/>
      </fieldsUsage>
    </cacheHierarchy>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fieldsUsage count="2">
        <fieldUsage x="-1"/>
        <fieldUsage x="3"/>
      </fieldsUsage>
    </cacheHierarchy>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2" memberValueDatatype="130" unbalanced="0">
      <fieldsUsage count="2">
        <fieldUsage x="-1"/>
        <fieldUsage x="2"/>
      </fieldsUsage>
    </cacheHierarchy>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0" memberValueDatatype="130" unbalanced="0"/>
    <cacheHierarchy uniqueName="[Hospital 1].[Patient Admission Flag]" caption="Patient Admission Flag" attribute="1" defaultMemberUniqueName="[Hospital 1].[Patient Admission Flag].[All]" allUniqueName="[Hospital 1].[Patient Admission Flag].[All]" dimensionUniqueName="[Hospital 1]" displayFolder="" count="0" memberValueDatatype="130" unbalanced="0"/>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0" memberValueDatatype="130" unbalanced="0"/>
    <cacheHierarchy uniqueName="[Hospital 1].[.]" caption="." attribute="1" defaultMemberUniqueName="[Hospital 1].[.].[All]" allUniqueName="[Hospital 1].[.].[All]" dimensionUniqueName="[Hospital 1]" displayFolder="" count="0" memberValueDatatype="130" unbalanced="0"/>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hidden="1">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Calender_Query" uniqueName="[Calender_Query]" caption="Calender_Query"/>
    <dimension name="Hospital 1" uniqueName="[Hospital 1]" caption="Hospital 1"/>
    <dimension measure="1" name="Measures" uniqueName="[Measures]" caption="Measures"/>
  </dimensions>
  <measureGroups count="2">
    <measureGroup name="Calender_Query" caption="Calender_Query"/>
    <measureGroup name="Hospital 1" caption="Hospital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3176388889" createdVersion="5" refreshedVersion="8" minRefreshableVersion="3" recordCount="0" supportSubquery="1" supportAdvancedDrill="1" xr:uid="{9DE219B9-816C-436B-BFEE-FD730678DD82}">
  <cacheSource type="external" connectionId="3"/>
  <cacheFields count="2">
    <cacheField name="[Calender_Query].[Date (Month)].[Date (Month)]" caption="Date (Month)" numFmtId="0" hierarchy="1" level="1">
      <sharedItems containsSemiMixedTypes="0" containsNonDate="0" containsString="0"/>
    </cacheField>
    <cacheField name="[Calender_Query].[Date (Year)].[Date (Year)]" caption="Date (Year)" numFmtId="0" hierarchy="3" level="1">
      <sharedItems count="1">
        <s v="2023"/>
      </sharedItems>
    </cacheField>
  </cacheFields>
  <cacheHierarchies count="34">
    <cacheHierarchy uniqueName="[Calender_Query].[Date]" caption="Date" attribute="1" time="1" defaultMemberUniqueName="[Calender_Query].[Date].[All]" allUniqueName="[Calender_Query].[Date].[All]" dimensionUniqueName="[Calender_Query]" displayFolder="" count="0" memberValueDatatype="7" unbalanced="0"/>
    <cacheHierarchy uniqueName="[Calender_Query].[Date (Month)]" caption="Date (Month)" attribute="1" defaultMemberUniqueName="[Calender_Query].[Date (Month)].[All]" allUniqueName="[Calender_Query].[Date (Month)].[All]" dimensionUniqueName="[Calender_Query]" displayFolder="" count="2" memberValueDatatype="130" unbalanced="0">
      <fieldsUsage count="2">
        <fieldUsage x="-1"/>
        <fieldUsage x="0"/>
      </fieldsUsage>
    </cacheHierarchy>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fieldsUsage count="2">
        <fieldUsage x="-1"/>
        <fieldUsage x="1"/>
      </fieldsUsage>
    </cacheHierarchy>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0" memberValueDatatype="130" unbalanced="0"/>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0" memberValueDatatype="130" unbalanced="0"/>
    <cacheHierarchy uniqueName="[Hospital 1].[Patient Admission Flag]" caption="Patient Admission Flag" attribute="1" defaultMemberUniqueName="[Hospital 1].[Patient Admission Flag].[All]" allUniqueName="[Hospital 1].[Patient Admission Flag].[All]" dimensionUniqueName="[Hospital 1]" displayFolder="" count="0" memberValueDatatype="130" unbalanced="0"/>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0" memberValueDatatype="130" unbalanced="0"/>
    <cacheHierarchy uniqueName="[Hospital 1].[.]" caption="." attribute="1" defaultMemberUniqueName="[Hospital 1].[.].[All]" allUniqueName="[Hospital 1].[.].[All]" dimensionUniqueName="[Hospital 1]" displayFolder="" count="0" memberValueDatatype="130" unbalanced="0"/>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hidden="1">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hidden="1">
      <extLst>
        <ext xmlns:x15="http://schemas.microsoft.com/office/spreadsheetml/2010/11/main" uri="{B97F6D7D-B522-45F9-BDA1-12C45D357490}">
          <x15:cacheHierarchy aggregatedColumn="9"/>
        </ext>
      </extLst>
    </cacheHierarchy>
  </cacheHierarchies>
  <kpis count="0"/>
  <dimensions count="3">
    <dimension name="Calender_Query" uniqueName="[Calender_Query]" caption="Calender_Query"/>
    <dimension name="Hospital 1" uniqueName="[Hospital 1]" caption="Hospital 1"/>
    <dimension measure="1" name="Measures" uniqueName="[Measures]" caption="Measures"/>
  </dimensions>
  <measureGroups count="2">
    <measureGroup name="Calender_Query" caption="Calender_Query"/>
    <measureGroup name="Hospital 1" caption="Hospital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Jameel" refreshedDate="46007.562801157408" createdVersion="3" refreshedVersion="8" minRefreshableVersion="3" recordCount="0" supportSubquery="1" supportAdvancedDrill="1" xr:uid="{D66CE4DB-4B26-487B-B95B-EC6E7C55472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Query].[Date]" caption="Date" attribute="1" time="1" defaultMemberUniqueName="[Calender_Query].[Date].[All]" allUniqueName="[Calender_Query].[Date].[All]" dimensionUniqueName="[Calender_Query]" displayFolder="" count="0" memberValueDatatype="7" unbalanced="0"/>
    <cacheHierarchy uniqueName="[Calender_Query].[Date (Month)]" caption="Date (Month)" attribute="1" defaultMemberUniqueName="[Calender_Query].[Date (Month)].[All]" allUniqueName="[Calender_Query].[Date (Month)].[All]" dimensionUniqueName="[Calender_Query]" displayFolder="" count="2" memberValueDatatype="130" unbalanced="0"/>
    <cacheHierarchy uniqueName="[Calender_Query].[Date (Day)]" caption="Date (Day)" attribute="1" defaultMemberUniqueName="[Calender_Query].[Date (Day)].[All]" allUniqueName="[Calender_Query].[Date (Day)].[All]" dimensionUniqueName="[Calender_Query]" displayFolder="" count="0" memberValueDatatype="130" unbalanced="0"/>
    <cacheHierarchy uniqueName="[Calender_Query].[Date (Year)]" caption="Date (Year)" attribute="1" defaultMemberUniqueName="[Calender_Query].[Date (Year)].[All]" allUniqueName="[Calender_Query].[Date (Year)].[All]" dimensionUniqueName="[Calender_Query]" displayFolder="" count="2" memberValueDatatype="130" unbalanced="0"/>
    <cacheHierarchy uniqueName="[Calender_Query].[Date (Quarter)]" caption="Date (Quarter)" attribute="1" defaultMemberUniqueName="[Calender_Query].[Date (Quarter)].[All]" allUniqueName="[Calender_Query].[Date (Quarter)].[All]" dimensionUniqueName="[Calender_Query]" displayFolder="" count="0" memberValueDatatype="130" unbalanced="0"/>
    <cacheHierarchy uniqueName="[Hospital 1].[Patient Id]" caption="Patient Id" attribute="1" defaultMemberUniqueName="[Hospital 1].[Patient Id].[All]" allUniqueName="[Hospital 1].[Patient Id].[All]" dimensionUniqueName="[Hospital 1]" displayFolder="" count="0" memberValueDatatype="130" unbalanced="0"/>
    <cacheHierarchy uniqueName="[Hospital 1].[Patient Admission Date]" caption="Patient Admission Date" attribute="1" time="1" defaultMemberUniqueName="[Hospital 1].[Patient Admission Date].[All]" allUniqueName="[Hospital 1].[Patient Admission Date].[All]" dimensionUniqueName="[Hospital 1]" displayFolder="" count="0" memberValueDatatype="7" unbalanced="0"/>
    <cacheHierarchy uniqueName="[Hospital 1].[Patient Admission Time]" caption="Patient Admission Time" attribute="1" time="1" defaultMemberUniqueName="[Hospital 1].[Patient Admission Time].[All]" allUniqueName="[Hospital 1].[Patient Admission Time].[All]" dimensionUniqueName="[Hospital 1]" displayFolder="" count="0" memberValueDatatype="7" unbalanced="0"/>
    <cacheHierarchy uniqueName="[Hospital 1].[Merged]" caption="Merged" attribute="1" defaultMemberUniqueName="[Hospital 1].[Merged].[All]" allUniqueName="[Hospital 1].[Merged].[All]" dimensionUniqueName="[Hospital 1]" displayFolder="" count="0" memberValueDatatype="130" unbalanced="0"/>
    <cacheHierarchy uniqueName="[Hospital 1].[Patient Gender]" caption="Patient Gender" attribute="1" defaultMemberUniqueName="[Hospital 1].[Patient Gender].[All]" allUniqueName="[Hospital 1].[Patient Gender].[All]" dimensionUniqueName="[Hospital 1]" displayFolder="" count="0" memberValueDatatype="130" unbalanced="0"/>
    <cacheHierarchy uniqueName="[Hospital 1].[Patient Age]" caption="Patient Age" attribute="1" defaultMemberUniqueName="[Hospital 1].[Patient Age].[All]" allUniqueName="[Hospital 1].[Patient Age].[All]" dimensionUniqueName="[Hospital 1]" displayFolder="" count="0" memberValueDatatype="20" unbalanced="0"/>
    <cacheHierarchy uniqueName="[Hospital 1].[Patient Race]" caption="Patient Race" attribute="1" defaultMemberUniqueName="[Hospital 1].[Patient Race].[All]" allUniqueName="[Hospital 1].[Patient Race].[All]" dimensionUniqueName="[Hospital 1]" displayFolder="" count="0" memberValueDatatype="130" unbalanced="0"/>
    <cacheHierarchy uniqueName="[Hospital 1].[Department Referral]" caption="Department Referral" attribute="1" defaultMemberUniqueName="[Hospital 1].[Department Referral].[All]" allUniqueName="[Hospital 1].[Department Referral].[All]" dimensionUniqueName="[Hospital 1]" displayFolder="" count="0" memberValueDatatype="130" unbalanced="0"/>
    <cacheHierarchy uniqueName="[Hospital 1].[Patient Admission Flag]" caption="Patient Admission Flag" attribute="1" defaultMemberUniqueName="[Hospital 1].[Patient Admission Flag].[All]" allUniqueName="[Hospital 1].[Patient Admission Flag].[All]" dimensionUniqueName="[Hospital 1]" displayFolder="" count="0" memberValueDatatype="130" unbalanced="0"/>
    <cacheHierarchy uniqueName="[Hospital 1].[Patient Satisfaction Score]" caption="Patient Satisfaction Score" attribute="1" defaultMemberUniqueName="[Hospital 1].[Patient Satisfaction Score].[All]" allUniqueName="[Hospital 1].[Patient Satisfaction Score].[All]" dimensionUniqueName="[Hospital 1]" displayFolder="" count="0" memberValueDatatype="20" unbalanced="0"/>
    <cacheHierarchy uniqueName="[Hospital 1].[Patient Waittime]" caption="Patient Waittime" attribute="1" defaultMemberUniqueName="[Hospital 1].[Patient Waittime].[All]" allUniqueName="[Hospital 1].[Patient Waittime].[All]" dimensionUniqueName="[Hospital 1]" displayFolder="" count="0" memberValueDatatype="20" unbalanced="0"/>
    <cacheHierarchy uniqueName="[Hospital 1].[Age_Group]" caption="Age_Group" attribute="1" defaultMemberUniqueName="[Hospital 1].[Age_Group].[All]" allUniqueName="[Hospital 1].[Age_Group].[All]" dimensionUniqueName="[Hospital 1]" displayFolder="" count="0" memberValueDatatype="130" unbalanced="0"/>
    <cacheHierarchy uniqueName="[Hospital 1].[.]" caption="." attribute="1" defaultMemberUniqueName="[Hospital 1].[.].[All]" allUniqueName="[Hospital 1].[.].[All]" dimensionUniqueName="[Hospital 1]" displayFolder="" count="0" memberValueDatatype="130" unbalanced="0"/>
    <cacheHierarchy uniqueName="[Calender_Query].[Date (Day Index)]" caption="Date (Day Index)" attribute="1" defaultMemberUniqueName="[Calender_Query].[Date (Day Index)].[All]" allUniqueName="[Calender_Query].[Date (Day Index)].[All]" dimensionUniqueName="[Calender_Query]" displayFolder="" count="0" memberValueDatatype="5" unbalanced="0" hidden="1"/>
    <cacheHierarchy uniqueName="[Calender_Query].[Date (Month Index)]" caption="Date (Month Index)" attribute="1" defaultMemberUniqueName="[Calender_Query].[Date (Month Index)].[All]" allUniqueName="[Calender_Query].[Date (Month Index)].[All]" dimensionUniqueName="[Calender_Query]" displayFolder="" count="0" memberValueDatatype="20" unbalanced="0" hidden="1"/>
    <cacheHierarchy uniqueName="[Measures].[__XL_Count Hospital 1]" caption="__XL_Count Hospital 1" measure="1" displayFolder="" measureGroup="Hospital 1" count="0" hidden="1"/>
    <cacheHierarchy uniqueName="[Measures].[__XL_Count Calender_Query]" caption="__XL_Count Calender_Query" measure="1" displayFolder="" measureGroup="Calender_Query" count="0" hidden="1"/>
    <cacheHierarchy uniqueName="[Measures].[__No measures defined]" caption="__No measures defined" measure="1" displayFolder="" count="0" hidden="1"/>
    <cacheHierarchy uniqueName="[Measures].[Count of Patient Id]" caption="Count of Patient Id" measure="1" displayFolder="" measureGroup="Hospital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1"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Hospital 1" count="0" hidden="1">
      <extLst>
        <ext xmlns:x15="http://schemas.microsoft.com/office/spreadsheetml/2010/11/main" uri="{B97F6D7D-B522-45F9-BDA1-12C45D357490}">
          <x15:cacheHierarchy aggregatedColumn="16"/>
        </ext>
      </extLst>
    </cacheHierarchy>
    <cacheHierarchy uniqueName="[Measures].[Count of .]" caption="Count of ." measure="1" displayFolder="" measureGroup="Hospital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1"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977034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6ADF3D-A313-43B2-8FCC-720FB9F53F43}" name="PivotTable10" cacheId="1055" applyNumberFormats="0" applyBorderFormats="0" applyFontFormats="0" applyPatternFormats="0" applyAlignmentFormats="0" applyWidthHeightFormats="1" dataCaption="Values" tag="99c741c5-85ea-4e01-a21f-f5d448562d7d" updatedVersion="8" minRefreshableVersion="3" subtotalHiddenItems="1" itemPrintTitles="1" createdVersion="5" indent="0" outline="1" outlineData="1" multipleFieldFilters="0" chartFormat="14">
  <location ref="A29:C3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93">
      <pivotArea outline="0" collapsedLevelsAreSubtotals="1" fieldPosition="0"/>
    </format>
    <format dxfId="194">
      <pivotArea collapsedLevelsAreSubtotals="1" fieldPosition="0">
        <references count="2">
          <reference field="4294967294" count="1" selected="0">
            <x v="1"/>
          </reference>
          <reference field="2" count="0"/>
        </references>
      </pivotArea>
    </format>
    <format dxfId="195">
      <pivotArea outline="0" fieldPosition="0">
        <references count="1">
          <reference field="4294967294" count="1">
            <x v="1"/>
          </reference>
        </references>
      </pivotArea>
    </format>
  </formats>
  <chartFormats count="8">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pivotArea type="data" outline="0" fieldPosition="0">
        <references count="2">
          <reference field="4294967294" count="1" selected="0">
            <x v="0"/>
          </reference>
          <reference field="2" count="1" selected="0">
            <x v="0"/>
          </reference>
        </references>
      </pivotArea>
    </chartFormat>
    <chartFormat chart="10" format="3">
      <pivotArea type="data" outline="0" fieldPosition="0">
        <references count="2">
          <reference field="4294967294" count="1" selected="0">
            <x v="0"/>
          </reference>
          <reference field="2"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3" format="10">
      <pivotArea type="data" outline="0" fieldPosition="0">
        <references count="2">
          <reference field="4294967294" count="1" selected="0">
            <x v="0"/>
          </reference>
          <reference field="2" count="1" selected="0">
            <x v="0"/>
          </reference>
        </references>
      </pivotArea>
    </chartFormat>
    <chartFormat chart="13" format="11">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Query].[Date (Month)].&amp;[Feb]"/>
      </members>
    </pivotHierarchy>
    <pivotHierarchy dragToData="1"/>
    <pivotHierarchy multipleItemSelectionAllowed="1" dragToData="1">
      <members count="1" level="1">
        <member name="[Calender_Que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1]"/>
        <x15:activeTabTopLevelEntity name="[Calende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7E10BA-413F-4DCC-B016-4CD5AF48CD0F}" name="PivotTable7" cacheId="1049" applyNumberFormats="0" applyBorderFormats="0" applyFontFormats="0" applyPatternFormats="0" applyAlignmentFormats="0" applyWidthHeightFormats="1" dataCaption="Values" tag="4828348a-c098-4ba4-bf6b-def802997f3e" updatedVersion="8" minRefreshableVersion="3" subtotalHiddenItems="1" itemPrintTitles="1" createdVersion="5" indent="0" outline="1" outlineData="1" multipleFieldFilters="0" chartFormat="16">
  <location ref="F3:G13"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Patient Waittime" fld="2" baseField="0" baseItem="0"/>
  </dataFields>
  <chartFormats count="2">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Query].[Date (Month)].&amp;[Feb]"/>
      </members>
    </pivotHierarchy>
    <pivotHierarchy dragToData="1"/>
    <pivotHierarchy multipleItemSelectionAllowed="1" dragToData="1">
      <members count="1" level="1">
        <member name="[Calender_Que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1]"/>
        <x15:activeTabTopLevelEntity name="[Calende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F00F68-BFFE-4DB8-9A11-455C19D279E5}" name="PivotTable13" cacheId="1064" applyNumberFormats="0" applyBorderFormats="0" applyFontFormats="0" applyPatternFormats="0" applyAlignmentFormats="0" applyWidthHeightFormats="1" dataCaption="Values" tag="5c75b882-bf84-46c2-a88e-181f169f2a9a" updatedVersion="8" minRefreshableVersion="3" subtotalHiddenItems="1" itemPrintTitles="1" createdVersion="5" indent="0" outline="1" outlineData="1" multipleFieldFilters="0" chartFormat="24">
  <location ref="A65:B7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6"/>
    </i>
    <i>
      <x v="5"/>
    </i>
    <i>
      <x v="3"/>
    </i>
    <i>
      <x v="1"/>
    </i>
    <i>
      <x v="4"/>
    </i>
    <i>
      <x v="2"/>
    </i>
    <i>
      <x/>
    </i>
    <i>
      <x v="7"/>
    </i>
    <i t="grand">
      <x/>
    </i>
  </rowItems>
  <colItems count="1">
    <i/>
  </colItems>
  <dataFields count="1">
    <dataField name="Count of Department Referral" fld="1" subtotal="count" baseField="0" baseItem="0"/>
  </dataFields>
  <formats count="2">
    <format dxfId="189">
      <pivotArea outline="0" collapsedLevelsAreSubtotals="1" fieldPosition="0"/>
    </format>
    <format dxfId="190">
      <pivotArea collapsedLevelsAreSubtotals="1" fieldPosition="0">
        <references count="1">
          <reference field="2" count="0"/>
        </references>
      </pivotArea>
    </format>
  </formats>
  <chartFormats count="1">
    <chartFormat chart="2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Query].[Date (Month)].&amp;[Feb]"/>
      </members>
    </pivotHierarchy>
    <pivotHierarchy dragToData="1"/>
    <pivotHierarchy multipleItemSelectionAllowed="1" dragToData="1">
      <members count="1" level="1">
        <member name="[Calender_Que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1]"/>
        <x15:activeTabTopLevelEntity name="[Calende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B92465-C788-4176-8D2F-D100811896E4}" name="PivotTable4" cacheId="1037" applyNumberFormats="0" applyBorderFormats="0" applyFontFormats="0" applyPatternFormats="0" applyAlignmentFormats="0" applyWidthHeightFormats="1" dataCaption="Values" tag="324b0b23-7326-475f-a548-8d0db199382c" updatedVersion="8" minRefreshableVersion="3" subtotalHiddenItems="1" itemPrintTitles="1" createdVersion="5" indent="0" outline="1" outlineData="1" multipleFieldFilters="0" chartFormat="10">
  <location ref="C3:D13" firstHeaderRow="1" firstDataRow="1" firstDataCol="1"/>
  <pivotFields count="4">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Patient Id" fld="0" subtotal="count" baseField="0" baseItem="0"/>
  </dataField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Query].[Date (Month)].&amp;[Feb]"/>
      </members>
    </pivotHierarchy>
    <pivotHierarchy dragToData="1"/>
    <pivotHierarchy multipleItemSelectionAllowed="1" dragToData="1">
      <members count="1" level="1">
        <member name="[Calender_Que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1]"/>
        <x15:activeTabTopLevelEntity name="[Calende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4EED3C-D2D2-4D1D-ACCA-501704076805}" name="PivotTable12" cacheId="1061" applyNumberFormats="0" applyBorderFormats="0" applyFontFormats="0" applyPatternFormats="0" applyAlignmentFormats="0" applyWidthHeightFormats="1" dataCaption="Values" tag="129a2a9f-f16f-4479-92e5-8a5c6467dae3" updatedVersion="8" minRefreshableVersion="3" subtotalHiddenItems="1" itemPrintTitles="1" createdVersion="5" indent="0" outline="1" outlineData="1" multipleFieldFilters="0" chartFormat="40">
  <location ref="A56:B5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 fld="1" subtotal="count" baseField="0" baseItem="0"/>
  </dataFields>
  <formats count="1">
    <format dxfId="191">
      <pivotArea outline="0" collapsedLevelsAreSubtotals="1" fieldPosition="0"/>
    </format>
  </formats>
  <chartFormats count="7">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2" count="1" selected="0">
            <x v="0"/>
          </reference>
        </references>
      </pivotArea>
    </chartFormat>
    <chartFormat chart="26" format="8">
      <pivotArea type="data" outline="0" fieldPosition="0">
        <references count="2">
          <reference field="4294967294" count="1" selected="0">
            <x v="0"/>
          </reference>
          <reference field="2" count="1" selected="0">
            <x v="1"/>
          </reference>
        </references>
      </pivotArea>
    </chartFormat>
    <chartFormat chart="35" format="0"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39" format="5">
      <pivotArea type="data" outline="0" fieldPosition="0">
        <references count="2">
          <reference field="4294967294" count="1" selected="0">
            <x v="0"/>
          </reference>
          <reference field="2" count="1" selected="0">
            <x v="0"/>
          </reference>
        </references>
      </pivotArea>
    </chartFormat>
    <chartFormat chart="39"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Query].[Date (Month)].&amp;[Feb]"/>
      </members>
    </pivotHierarchy>
    <pivotHierarchy dragToData="1"/>
    <pivotHierarchy multipleItemSelectionAllowed="1" dragToData="1">
      <members count="1" level="1">
        <member name="[Calender_Que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1]"/>
        <x15:activeTabTopLevelEntity name="[Calende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513FDD-092B-4A6B-9C37-BED5ACED3EA7}" name="PivotTable2" cacheId="1043" applyNumberFormats="0" applyBorderFormats="0" applyFontFormats="0" applyPatternFormats="0" applyAlignmentFormats="0" applyWidthHeightFormats="1" dataCaption="Values" tag="3a98f0a6-d3a4-49c1-a589-fca88239a927" updatedVersion="8" minRefreshableVersion="3" useAutoFormatting="1"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97">
      <pivotArea outline="0" collapsedLevelsAreSubtotals="1" fieldPosition="0"/>
    </format>
  </formats>
  <pivotHierarchies count="34">
    <pivotHierarchy dragToData="1"/>
    <pivotHierarchy multipleItemSelectionAllowed="1" dragToData="1">
      <members count="1" level="1">
        <member name="[Calender_Query].[Date (Month)].&amp;[Feb]"/>
      </members>
    </pivotHierarchy>
    <pivotHierarchy dragToData="1"/>
    <pivotHierarchy multipleItemSelectionAllowed="1" dragToData="1">
      <members count="1" level="1">
        <member name="[Calender_Que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1]"/>
        <x15:activeTabTopLevelEntity name="[Calende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2ED4B7-7EAE-43BD-99D9-29A810D508F9}" name="PivotTable3" cacheId="1046" applyNumberFormats="0" applyBorderFormats="0" applyFontFormats="0" applyPatternFormats="0" applyAlignmentFormats="0" applyWidthHeightFormats="1" dataCaption="Values" tag="e7db2fad-3d8c-4674-b757-ffaa85711621" updatedVersion="8" minRefreshableVersion="3" useAutoFormatting="1"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164"/>
  </dataFields>
  <formats count="1">
    <format dxfId="196">
      <pivotArea outline="0" collapsedLevelsAreSubtotals="1" fieldPosition="0"/>
    </format>
  </formats>
  <pivotHierarchies count="34">
    <pivotHierarchy dragToData="1"/>
    <pivotHierarchy multipleItemSelectionAllowed="1" dragToData="1">
      <members count="1" level="1">
        <member name="[Calender_Query].[Date (Month)].&amp;[Feb]"/>
      </members>
    </pivotHierarchy>
    <pivotHierarchy dragToData="1"/>
    <pivotHierarchy multipleItemSelectionAllowed="1" dragToData="1">
      <members count="1" level="1">
        <member name="[Calender_Que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1]"/>
        <x15:activeTabTopLevelEntity name="[Calende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C1BF3A-1A0B-4359-B22C-BA538D4B2554}" name="PivotTable1" cacheId="1040" applyNumberFormats="0" applyBorderFormats="0" applyFontFormats="0" applyPatternFormats="0" applyAlignmentFormats="0" applyWidthHeightFormats="1" dataCaption="Values" tag="d5696a72-43f3-474b-b4ac-ceae69669ee8" updatedVersion="8" minRefreshableVersion="3" useAutoFormatting="1"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4">
    <pivotHierarchy dragToData="1"/>
    <pivotHierarchy multipleItemSelectionAllowed="1" dragToData="1">
      <members count="1" level="1">
        <member name="[Calender_Query].[Date (Month)].&amp;[Feb]"/>
      </members>
    </pivotHierarchy>
    <pivotHierarchy dragToData="1"/>
    <pivotHierarchy multipleItemSelectionAllowed="1" dragToData="1">
      <members count="1" level="1">
        <member name="[Calender_Que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1]"/>
        <x15:activeTabTopLevelEntity name="[Calende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BEEEDB-2398-4BCD-9E20-B58329E5C335}" name="PivotTable16" cacheId="1070" applyNumberFormats="0" applyBorderFormats="0" applyFontFormats="0" applyPatternFormats="0" applyAlignmentFormats="0" applyWidthHeightFormats="1" dataCaption="Values" tag="d231d047-37ab-487c-bb48-46e409052b1d" updatedVersion="8" minRefreshableVersion="3" subtotalHiddenItems="1" itemPrintTitles="1" createdVersion="5" indent="0" outline="1" outlineData="1" multipleFieldFilters="0" chartFormat="24">
  <location ref="A84:A86"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187">
      <pivotArea outline="0" collapsedLevelsAreSubtotals="1" fieldPosition="0"/>
    </format>
  </formats>
  <pivotHierarchies count="34">
    <pivotHierarchy dragToData="1"/>
    <pivotHierarchy multipleItemSelectionAllowed="1" dragToData="1">
      <members count="1" level="1">
        <member name="[Calender_Query].[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1]"/>
        <x15:activeTabTopLevelEntity name="[Calende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40D629-87AB-4844-8B7B-8D7CFEDB9566}" name="PivotTable8" cacheId="1052" applyNumberFormats="0" applyBorderFormats="0" applyFontFormats="0" applyPatternFormats="0" applyAlignmentFormats="0" applyWidthHeightFormats="1" dataCaption="Values" tag="ee9eccd6-7dbb-4b35-bfa5-b38d6d2ffb20" updatedVersion="8" minRefreshableVersion="3" subtotalHiddenItems="1" itemPrintTitles="1" createdVersion="5" indent="0" outline="1" outlineData="1" multipleFieldFilters="0" chartFormat="14">
  <location ref="J3:K13"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Patient Satisfaction Score" fld="2" baseField="0" baseItem="0"/>
  </dataFields>
  <chartFormats count="2">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Query].[Date (Month)].&amp;[Feb]"/>
      </members>
    </pivotHierarchy>
    <pivotHierarchy dragToData="1"/>
    <pivotHierarchy multipleItemSelectionAllowed="1" dragToData="1">
      <members count="1" level="1">
        <member name="[Calender_Que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1]"/>
        <x15:activeTabTopLevelEntity name="[Calende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E49073-4900-4271-9DEB-9284ABE15251}" name="PivotTable11" cacheId="1058" applyNumberFormats="0" applyBorderFormats="0" applyFontFormats="0" applyPatternFormats="0" applyAlignmentFormats="0" applyWidthHeightFormats="1" dataCaption="Values" tag="0651cba7-5b81-457c-99e9-a3f309a72d79" updatedVersion="8" minRefreshableVersion="3" subtotalHiddenItems="1" itemPrintTitles="1" createdVersion="5" indent="0" outline="1" outlineData="1" multipleFieldFilters="0" chartFormat="17">
  <location ref="A37:B4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_Group" fld="1" subtotal="count" baseField="0" baseItem="0"/>
  </dataFields>
  <formats count="1">
    <format dxfId="192">
      <pivotArea outline="0" collapsedLevelsAreSubtotals="1" fieldPosition="0"/>
    </format>
  </formats>
  <chartFormats count="1">
    <chartFormat chart="16"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Query].[Date (Month)].&amp;[Feb]"/>
      </members>
    </pivotHierarchy>
    <pivotHierarchy dragToData="1"/>
    <pivotHierarchy multipleItemSelectionAllowed="1" dragToData="1">
      <members count="1" level="1">
        <member name="[Calender_Que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1]"/>
        <x15:activeTabTopLevelEntity name="[Calende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CE1CB0-87C8-484A-8201-83E0708C4BBB}" name="PivotTable15" cacheId="1067" applyNumberFormats="0" applyBorderFormats="0" applyFontFormats="0" applyPatternFormats="0" applyAlignmentFormats="0" applyWidthHeightFormats="1" dataCaption="Values" tag="0f2122b1-9480-4b9c-805d-79562893fd33" updatedVersion="8" minRefreshableVersion="3" subtotalHiddenItems="1" itemPrintTitles="1" createdVersion="5" indent="0" outline="1" outlineData="1" multipleFieldFilters="0" chartFormat="32">
  <location ref="A78:B8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188">
      <pivotArea outline="0" collapsedLevelsAreSubtotals="1" fieldPosition="0"/>
    </format>
  </formats>
  <chartFormats count="3">
    <chartFormat chart="31" format="4"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2" count="1" selected="0">
            <x v="0"/>
          </reference>
        </references>
      </pivotArea>
    </chartFormat>
    <chartFormat chart="31" format="8">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Query].[Date (Month)].&amp;[Feb]"/>
      </members>
    </pivotHierarchy>
    <pivotHierarchy dragToData="1"/>
    <pivotHierarchy multipleItemSelectionAllowed="1" dragToData="1">
      <members count="1" level="1">
        <member name="[Calender_Que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1]"/>
        <x15:activeTabTopLevelEntity name="[Calender_Que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D3957C9-CD31-4917-ACAE-CB0505BB2AA3}" sourceName="[Calender_Query].[Date (Month)]">
  <pivotTables>
    <pivotTable tabId="2" name="PivotTable4"/>
    <pivotTable tabId="2" name="PivotTable1"/>
    <pivotTable tabId="2" name="PivotTable2"/>
    <pivotTable tabId="2" name="PivotTable3"/>
    <pivotTable tabId="2" name="PivotTable7"/>
    <pivotTable tabId="2" name="PivotTable8"/>
    <pivotTable tabId="2" name="PivotTable10"/>
    <pivotTable tabId="2" name="PivotTable11"/>
    <pivotTable tabId="2" name="PivotTable12"/>
    <pivotTable tabId="2" name="PivotTable13"/>
    <pivotTable tabId="2" name="PivotTable15"/>
    <pivotTable tabId="2" name="PivotTable16"/>
  </pivotTables>
  <data>
    <olap pivotCacheId="97703496">
      <levels count="2">
        <level uniqueName="[Calender_Query].[Date (Month)].[(All)]" sourceCaption="(All)" count="0"/>
        <level uniqueName="[Calender_Query].[Date (Month)].[Date (Month)]" sourceCaption="Date (Month)" count="13">
          <ranges>
            <range startItem="0">
              <i n="[Calender_Query].[Date (Month)].&amp;[Jan]" c="Jan"/>
              <i n="[Calender_Query].[Date (Month)].&amp;[Feb]" c="Feb"/>
              <i n="[Calender_Query].[Date (Month)].&amp;[Mar]" c="Mar"/>
              <i n="[Calender_Query].[Date (Month)].&amp;[Apr]" c="Apr"/>
              <i n="[Calender_Query].[Date (Month)].&amp;[May]" c="May"/>
              <i n="[Calender_Query].[Date (Month)].&amp;[Jun]" c="Jun"/>
              <i n="[Calender_Query].[Date (Month)].&amp;[Jul]" c="Jul"/>
              <i n="[Calender_Query].[Date (Month)].&amp;[Aug]" c="Aug"/>
              <i n="[Calender_Query].[Date (Month)].&amp;[Sep]" c="Sep"/>
              <i n="[Calender_Query].[Date (Month)].&amp;[Oct]" c="Oct"/>
              <i n="[Calender_Query].[Date (Month)].&amp;[Nov]" c="Nov"/>
              <i n="[Calender_Query].[Date (Month)].&amp;[Dec]" c="Dec"/>
              <i n="[Calender_Query].[Date (Month)].&amp;" c="(blank)" nd="1"/>
            </range>
          </ranges>
        </level>
      </levels>
      <selections count="1">
        <selection n="[Calender_Query].[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868A486-CE71-4D6F-96C5-3610B719FF54}" sourceName="[Calender_Query].[Date (Year)]">
  <pivotTables>
    <pivotTable tabId="2" name="PivotTable16"/>
    <pivotTable tabId="2" name="PivotTable1"/>
    <pivotTable tabId="2" name="PivotTable10"/>
    <pivotTable tabId="2" name="PivotTable11"/>
    <pivotTable tabId="2" name="PivotTable12"/>
    <pivotTable tabId="2" name="PivotTable13"/>
    <pivotTable tabId="2" name="PivotTable15"/>
    <pivotTable tabId="2" name="PivotTable2"/>
    <pivotTable tabId="2" name="PivotTable3"/>
    <pivotTable tabId="2" name="PivotTable4"/>
    <pivotTable tabId="2" name="PivotTable7"/>
    <pivotTable tabId="2" name="PivotTable8"/>
  </pivotTables>
  <data>
    <olap pivotCacheId="97703496">
      <levels count="2">
        <level uniqueName="[Calender_Query].[Date (Year)].[(All)]" sourceCaption="(All)" count="0"/>
        <level uniqueName="[Calender_Query].[Date (Year)].[Date (Year)]" sourceCaption="Date (Year)" count="3">
          <ranges>
            <range startItem="0">
              <i n="[Calender_Query].[Date (Year)].&amp;[2023]" c="2023"/>
              <i n="[Calender_Query].[Date (Year)].&amp;[2024]" c="2024"/>
              <i n="[Calender_Query].[Date (Year)].&amp;" c="(blank)" nd="1"/>
            </range>
          </ranges>
        </level>
      </levels>
      <selections count="1">
        <selection n="[Calender_Query].[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9F23B01-A222-4F26-BD6D-9B828334EA5E}" cache="Slicer_Date__Month" caption="Date (Month)" level="1" rowHeight="234950"/>
  <slicer name="Date (Month) 2" xr10:uid="{A44693B7-2427-4327-B7D4-862A15101894}" cache="Slicer_Date__Month" caption="Date (Month)" level="1" rowHeight="234950"/>
  <slicer name="Date (Year)" xr10:uid="{522A4A23-0920-44BD-8BA0-1AD91AC51634}" cache="Slicer_Date__Year" caption="Date (Year)"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274BB540-5BB4-45F5-B99B-F2A073C21902}" cache="Slicer_Date__Month" caption="Date (Month)" showCaption="0" level="1" style="SlicerStyleOther2" rowHeight="234950"/>
  <slicer name="Date (Year) 1" xr10:uid="{E91D6EB8-0317-4AC1-8D91-954726DA1E4C}" cache="Slicer_Date__Year" caption="Date (Year)" columnCount="2" showCaption="0" level="1" style="SlicerStyleLight1 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A8673-F285-433B-8323-040BD841E05D}">
  <dimension ref="A2:K246"/>
  <sheetViews>
    <sheetView topLeftCell="A2" zoomScale="70" zoomScaleNormal="70" workbookViewId="0">
      <selection activeCell="B54" sqref="B53:B54"/>
    </sheetView>
  </sheetViews>
  <sheetFormatPr defaultRowHeight="15" x14ac:dyDescent="0.25"/>
  <cols>
    <col min="1" max="1" width="45.7109375" bestFit="1" customWidth="1"/>
    <col min="2" max="2" width="28.140625" bestFit="1" customWidth="1"/>
    <col min="3" max="3" width="29.140625" bestFit="1" customWidth="1"/>
    <col min="4" max="4" width="17" bestFit="1" customWidth="1"/>
    <col min="6" max="6" width="12.5703125" bestFit="1" customWidth="1"/>
    <col min="7" max="7" width="25" bestFit="1" customWidth="1"/>
    <col min="10" max="10" width="12.5703125" bestFit="1" customWidth="1"/>
    <col min="11" max="11" width="29.28515625" bestFit="1" customWidth="1"/>
  </cols>
  <sheetData>
    <row r="2" spans="1:11" x14ac:dyDescent="0.25">
      <c r="C2" t="s">
        <v>5</v>
      </c>
    </row>
    <row r="3" spans="1:11" x14ac:dyDescent="0.25">
      <c r="A3" t="s">
        <v>0</v>
      </c>
      <c r="C3" s="1" t="s">
        <v>3</v>
      </c>
      <c r="D3" t="s">
        <v>0</v>
      </c>
      <c r="F3" s="1" t="s">
        <v>3</v>
      </c>
      <c r="G3" t="s">
        <v>9</v>
      </c>
      <c r="J3" s="1" t="s">
        <v>3</v>
      </c>
      <c r="K3" t="s">
        <v>10</v>
      </c>
    </row>
    <row r="4" spans="1:11" x14ac:dyDescent="0.25">
      <c r="A4" s="18">
        <v>129</v>
      </c>
      <c r="C4" s="4">
        <v>44961</v>
      </c>
      <c r="D4" s="18">
        <v>13</v>
      </c>
      <c r="F4" s="4">
        <v>44961</v>
      </c>
      <c r="G4" s="18">
        <v>383</v>
      </c>
      <c r="J4" s="4">
        <v>44961</v>
      </c>
      <c r="K4" s="18">
        <v>31</v>
      </c>
    </row>
    <row r="5" spans="1:11" x14ac:dyDescent="0.25">
      <c r="C5" s="4">
        <v>44962</v>
      </c>
      <c r="D5" s="18">
        <v>16</v>
      </c>
      <c r="F5" s="4">
        <v>44962</v>
      </c>
      <c r="G5" s="18">
        <v>548</v>
      </c>
      <c r="J5" s="4">
        <v>44962</v>
      </c>
      <c r="K5" s="18">
        <v>20</v>
      </c>
    </row>
    <row r="6" spans="1:11" x14ac:dyDescent="0.25">
      <c r="C6" s="4">
        <v>44963</v>
      </c>
      <c r="D6" s="18">
        <v>17</v>
      </c>
      <c r="F6" s="4">
        <v>44963</v>
      </c>
      <c r="G6" s="18">
        <v>594</v>
      </c>
      <c r="J6" s="4">
        <v>44963</v>
      </c>
      <c r="K6" s="18">
        <v>32</v>
      </c>
    </row>
    <row r="7" spans="1:11" x14ac:dyDescent="0.25">
      <c r="A7" t="s">
        <v>1</v>
      </c>
      <c r="C7" s="4">
        <v>44964</v>
      </c>
      <c r="D7" s="18">
        <v>9</v>
      </c>
      <c r="F7" s="4">
        <v>44964</v>
      </c>
      <c r="G7" s="18">
        <v>292</v>
      </c>
      <c r="J7" s="4">
        <v>44964</v>
      </c>
      <c r="K7" s="18">
        <v>13</v>
      </c>
    </row>
    <row r="8" spans="1:11" x14ac:dyDescent="0.25">
      <c r="A8" s="2">
        <v>33.844961240310077</v>
      </c>
      <c r="C8" s="4">
        <v>44965</v>
      </c>
      <c r="D8" s="18">
        <v>15</v>
      </c>
      <c r="F8" s="4">
        <v>44965</v>
      </c>
      <c r="G8" s="18">
        <v>578</v>
      </c>
      <c r="J8" s="4">
        <v>44965</v>
      </c>
      <c r="K8" s="18">
        <v>12</v>
      </c>
    </row>
    <row r="9" spans="1:11" x14ac:dyDescent="0.25">
      <c r="C9" s="4">
        <v>44966</v>
      </c>
      <c r="D9" s="18">
        <v>18</v>
      </c>
      <c r="F9" s="4">
        <v>44966</v>
      </c>
      <c r="G9" s="18">
        <v>626</v>
      </c>
      <c r="J9" s="4">
        <v>44966</v>
      </c>
      <c r="K9" s="18">
        <v>29</v>
      </c>
    </row>
    <row r="10" spans="1:11" x14ac:dyDescent="0.25">
      <c r="C10" s="4">
        <v>44967</v>
      </c>
      <c r="D10" s="18">
        <v>14</v>
      </c>
      <c r="F10" s="4">
        <v>44967</v>
      </c>
      <c r="G10" s="18">
        <v>467</v>
      </c>
      <c r="J10" s="4">
        <v>44967</v>
      </c>
      <c r="K10" s="18">
        <v>19</v>
      </c>
    </row>
    <row r="11" spans="1:11" x14ac:dyDescent="0.25">
      <c r="A11" t="s">
        <v>2</v>
      </c>
      <c r="C11" s="4">
        <v>44968</v>
      </c>
      <c r="D11" s="18">
        <v>12</v>
      </c>
      <c r="F11" s="4">
        <v>44968</v>
      </c>
      <c r="G11" s="18">
        <v>347</v>
      </c>
      <c r="J11" s="4">
        <v>44968</v>
      </c>
      <c r="K11" s="18">
        <v>28</v>
      </c>
    </row>
    <row r="12" spans="1:11" x14ac:dyDescent="0.25">
      <c r="A12" s="3">
        <v>4.9047619047619051</v>
      </c>
      <c r="C12" s="4">
        <v>44969</v>
      </c>
      <c r="D12" s="18">
        <v>15</v>
      </c>
      <c r="F12" s="4">
        <v>44969</v>
      </c>
      <c r="G12" s="18">
        <v>531</v>
      </c>
      <c r="J12" s="4">
        <v>44969</v>
      </c>
      <c r="K12" s="18">
        <v>22</v>
      </c>
    </row>
    <row r="13" spans="1:11" x14ac:dyDescent="0.25">
      <c r="C13" s="5" t="s">
        <v>4</v>
      </c>
      <c r="D13" s="18">
        <v>129</v>
      </c>
      <c r="F13" s="5" t="s">
        <v>4</v>
      </c>
      <c r="G13" s="18">
        <v>4366</v>
      </c>
      <c r="J13" s="5" t="s">
        <v>4</v>
      </c>
      <c r="K13" s="18">
        <v>206</v>
      </c>
    </row>
    <row r="29" spans="1:3" x14ac:dyDescent="0.25">
      <c r="A29" s="1" t="s">
        <v>3</v>
      </c>
      <c r="B29" t="s">
        <v>11</v>
      </c>
      <c r="C29" t="s">
        <v>12</v>
      </c>
    </row>
    <row r="30" spans="1:3" x14ac:dyDescent="0.25">
      <c r="A30" s="5" t="s">
        <v>8</v>
      </c>
      <c r="B30" s="3">
        <v>64</v>
      </c>
      <c r="C30" s="7">
        <v>0.49612403100775193</v>
      </c>
    </row>
    <row r="31" spans="1:3" x14ac:dyDescent="0.25">
      <c r="A31" s="5" t="s">
        <v>7</v>
      </c>
      <c r="B31" s="3">
        <v>65</v>
      </c>
      <c r="C31" s="7">
        <v>0.50387596899224807</v>
      </c>
    </row>
    <row r="32" spans="1:3" x14ac:dyDescent="0.25">
      <c r="A32" s="5" t="s">
        <v>4</v>
      </c>
      <c r="B32" s="3">
        <v>129</v>
      </c>
      <c r="C32" s="7">
        <v>1</v>
      </c>
    </row>
    <row r="37" spans="1:2" x14ac:dyDescent="0.25">
      <c r="A37" s="1" t="s">
        <v>3</v>
      </c>
      <c r="B37" t="s">
        <v>14</v>
      </c>
    </row>
    <row r="38" spans="1:2" x14ac:dyDescent="0.25">
      <c r="A38" s="5" t="s">
        <v>13</v>
      </c>
      <c r="B38" s="3">
        <v>13</v>
      </c>
    </row>
    <row r="39" spans="1:2" x14ac:dyDescent="0.25">
      <c r="A39" s="5" t="s">
        <v>15</v>
      </c>
      <c r="B39" s="3">
        <v>16</v>
      </c>
    </row>
    <row r="40" spans="1:2" x14ac:dyDescent="0.25">
      <c r="A40" s="5" t="s">
        <v>16</v>
      </c>
      <c r="B40" s="3">
        <v>20</v>
      </c>
    </row>
    <row r="41" spans="1:2" x14ac:dyDescent="0.25">
      <c r="A41" s="5" t="s">
        <v>17</v>
      </c>
      <c r="B41" s="3">
        <v>14</v>
      </c>
    </row>
    <row r="42" spans="1:2" x14ac:dyDescent="0.25">
      <c r="A42" s="5" t="s">
        <v>18</v>
      </c>
      <c r="B42" s="3">
        <v>20</v>
      </c>
    </row>
    <row r="43" spans="1:2" x14ac:dyDescent="0.25">
      <c r="A43" s="5" t="s">
        <v>19</v>
      </c>
      <c r="B43" s="3">
        <v>16</v>
      </c>
    </row>
    <row r="44" spans="1:2" x14ac:dyDescent="0.25">
      <c r="A44" s="5" t="s">
        <v>20</v>
      </c>
      <c r="B44" s="3">
        <v>15</v>
      </c>
    </row>
    <row r="45" spans="1:2" x14ac:dyDescent="0.25">
      <c r="A45" s="5" t="s">
        <v>21</v>
      </c>
      <c r="B45" s="3">
        <v>15</v>
      </c>
    </row>
    <row r="46" spans="1:2" x14ac:dyDescent="0.25">
      <c r="A46" s="5" t="s">
        <v>4</v>
      </c>
      <c r="B46" s="3">
        <v>129</v>
      </c>
    </row>
    <row r="56" spans="1:2" x14ac:dyDescent="0.25">
      <c r="A56" s="1" t="s">
        <v>3</v>
      </c>
      <c r="B56" t="s">
        <v>36</v>
      </c>
    </row>
    <row r="57" spans="1:2" x14ac:dyDescent="0.25">
      <c r="A57" s="5" t="s">
        <v>34</v>
      </c>
      <c r="B57" s="3">
        <v>55</v>
      </c>
    </row>
    <row r="58" spans="1:2" x14ac:dyDescent="0.25">
      <c r="A58" s="5" t="s">
        <v>35</v>
      </c>
      <c r="B58" s="3">
        <v>74</v>
      </c>
    </row>
    <row r="59" spans="1:2" x14ac:dyDescent="0.25">
      <c r="A59" s="5" t="s">
        <v>4</v>
      </c>
      <c r="B59" s="3">
        <v>129</v>
      </c>
    </row>
    <row r="65" spans="1:5" x14ac:dyDescent="0.25">
      <c r="A65" s="1" t="s">
        <v>3</v>
      </c>
      <c r="B65" t="s">
        <v>22</v>
      </c>
    </row>
    <row r="66" spans="1:5" x14ac:dyDescent="0.25">
      <c r="A66" s="5" t="s">
        <v>38</v>
      </c>
      <c r="B66" s="11">
        <v>2</v>
      </c>
    </row>
    <row r="67" spans="1:5" x14ac:dyDescent="0.25">
      <c r="A67" s="5" t="s">
        <v>39</v>
      </c>
      <c r="B67" s="11">
        <v>2</v>
      </c>
    </row>
    <row r="68" spans="1:5" x14ac:dyDescent="0.25">
      <c r="A68" s="5" t="s">
        <v>29</v>
      </c>
      <c r="B68" s="11">
        <v>3</v>
      </c>
    </row>
    <row r="69" spans="1:5" x14ac:dyDescent="0.25">
      <c r="A69" s="5" t="s">
        <v>30</v>
      </c>
      <c r="B69" s="11">
        <v>5</v>
      </c>
    </row>
    <row r="70" spans="1:5" x14ac:dyDescent="0.25">
      <c r="A70" s="5" t="s">
        <v>28</v>
      </c>
      <c r="B70" s="11">
        <v>6</v>
      </c>
    </row>
    <row r="71" spans="1:5" x14ac:dyDescent="0.25">
      <c r="A71" s="5" t="s">
        <v>31</v>
      </c>
      <c r="B71" s="11">
        <v>11</v>
      </c>
    </row>
    <row r="72" spans="1:5" x14ac:dyDescent="0.25">
      <c r="A72" s="5" t="s">
        <v>32</v>
      </c>
      <c r="B72" s="11">
        <v>27</v>
      </c>
      <c r="D72" s="5"/>
      <c r="E72" s="3"/>
    </row>
    <row r="73" spans="1:5" x14ac:dyDescent="0.25">
      <c r="A73" s="5" t="s">
        <v>33</v>
      </c>
      <c r="B73" s="11">
        <v>73</v>
      </c>
      <c r="D73" s="5"/>
      <c r="E73" s="3"/>
    </row>
    <row r="74" spans="1:5" x14ac:dyDescent="0.25">
      <c r="A74" s="5" t="s">
        <v>4</v>
      </c>
      <c r="B74" s="3">
        <v>129</v>
      </c>
    </row>
    <row r="78" spans="1:5" x14ac:dyDescent="0.25">
      <c r="A78" s="1" t="s">
        <v>3</v>
      </c>
      <c r="B78" t="s">
        <v>23</v>
      </c>
    </row>
    <row r="79" spans="1:5" x14ac:dyDescent="0.25">
      <c r="A79" s="5" t="s">
        <v>26</v>
      </c>
      <c r="B79" s="3">
        <v>59</v>
      </c>
    </row>
    <row r="80" spans="1:5" x14ac:dyDescent="0.25">
      <c r="A80" s="5" t="s">
        <v>27</v>
      </c>
      <c r="B80" s="3">
        <v>70</v>
      </c>
    </row>
    <row r="81" spans="1:2" x14ac:dyDescent="0.25">
      <c r="A81" s="5" t="s">
        <v>4</v>
      </c>
      <c r="B81" s="3">
        <v>129</v>
      </c>
    </row>
    <row r="84" spans="1:2" x14ac:dyDescent="0.25">
      <c r="A84" s="1" t="s">
        <v>3</v>
      </c>
    </row>
    <row r="85" spans="1:2" x14ac:dyDescent="0.25">
      <c r="A85" s="5" t="s">
        <v>37</v>
      </c>
    </row>
    <row r="86" spans="1:2" x14ac:dyDescent="0.25">
      <c r="A86" s="5" t="s">
        <v>4</v>
      </c>
    </row>
    <row r="91" spans="1:2" x14ac:dyDescent="0.25">
      <c r="A91" t="s">
        <v>24</v>
      </c>
      <c r="B91" s="3">
        <f>B80</f>
        <v>70</v>
      </c>
    </row>
    <row r="92" spans="1:2" x14ac:dyDescent="0.25">
      <c r="A92" t="s">
        <v>25</v>
      </c>
      <c r="B92" s="3">
        <f>B79</f>
        <v>59</v>
      </c>
    </row>
    <row r="244" spans="2:3" x14ac:dyDescent="0.25">
      <c r="B244" s="10"/>
      <c r="C244" s="10"/>
    </row>
    <row r="245" spans="2:3" x14ac:dyDescent="0.25">
      <c r="B245" s="8"/>
      <c r="C245" s="9"/>
    </row>
    <row r="246" spans="2:3" x14ac:dyDescent="0.25">
      <c r="C246" s="9"/>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F7C9-5D59-45C9-8117-C1C2F02BF7F7}">
  <dimension ref="A1:O25"/>
  <sheetViews>
    <sheetView tabSelected="1" zoomScale="160" zoomScaleNormal="160" workbookViewId="0">
      <selection activeCell="C23" sqref="C23"/>
    </sheetView>
  </sheetViews>
  <sheetFormatPr defaultRowHeight="15" x14ac:dyDescent="0.25"/>
  <sheetData>
    <row r="1" spans="1:15" x14ac:dyDescent="0.25">
      <c r="A1" s="13"/>
      <c r="B1" s="12"/>
      <c r="C1" s="12"/>
      <c r="D1" s="12"/>
      <c r="E1" s="12"/>
      <c r="F1" s="12"/>
      <c r="G1" s="12"/>
      <c r="H1" s="12"/>
      <c r="I1" s="12"/>
      <c r="J1" s="12"/>
      <c r="K1" s="12"/>
      <c r="L1" s="12"/>
      <c r="M1" s="12"/>
      <c r="N1" s="12"/>
      <c r="O1" s="12"/>
    </row>
    <row r="2" spans="1:15" x14ac:dyDescent="0.25">
      <c r="A2" s="12"/>
      <c r="B2" s="12"/>
      <c r="C2" s="12"/>
      <c r="D2" s="12"/>
      <c r="E2" s="12"/>
      <c r="F2" s="12"/>
      <c r="G2" s="12"/>
      <c r="H2" s="12"/>
      <c r="I2" s="12"/>
      <c r="J2" s="12"/>
      <c r="K2" s="12"/>
      <c r="L2" s="12"/>
      <c r="M2" s="12"/>
      <c r="N2" s="12"/>
      <c r="O2" s="12"/>
    </row>
    <row r="3" spans="1:15" x14ac:dyDescent="0.25">
      <c r="A3" s="12"/>
      <c r="B3" s="12"/>
      <c r="C3" s="12"/>
      <c r="D3" s="12"/>
      <c r="E3" s="12"/>
      <c r="F3" s="12"/>
      <c r="G3" s="12"/>
      <c r="H3" s="12"/>
      <c r="I3" s="12"/>
      <c r="J3" s="12"/>
      <c r="K3" s="12"/>
      <c r="L3" s="12"/>
      <c r="M3" s="12"/>
      <c r="N3" s="12"/>
      <c r="O3" s="12"/>
    </row>
    <row r="4" spans="1:15" x14ac:dyDescent="0.25">
      <c r="A4" s="12"/>
      <c r="B4" s="12"/>
      <c r="C4" s="12"/>
      <c r="D4" s="12"/>
      <c r="E4" s="12"/>
      <c r="F4" s="12"/>
      <c r="G4" s="12"/>
      <c r="H4" s="12"/>
      <c r="I4" s="12"/>
      <c r="J4" s="12"/>
      <c r="K4" s="12"/>
      <c r="L4" s="12"/>
      <c r="M4" s="12"/>
      <c r="N4" s="12"/>
      <c r="O4" s="12"/>
    </row>
    <row r="5" spans="1:15" x14ac:dyDescent="0.25">
      <c r="A5" s="12"/>
      <c r="B5" s="12"/>
      <c r="C5" s="12"/>
      <c r="D5" s="12"/>
      <c r="E5" s="12"/>
      <c r="F5" s="12"/>
      <c r="G5" s="12"/>
      <c r="H5" s="12"/>
      <c r="I5" s="12"/>
      <c r="J5" s="12"/>
      <c r="K5" s="12"/>
      <c r="L5" s="12"/>
      <c r="M5" s="12"/>
      <c r="N5" s="12"/>
      <c r="O5" s="12"/>
    </row>
    <row r="6" spans="1:15" x14ac:dyDescent="0.25">
      <c r="A6" s="12"/>
      <c r="B6" s="12"/>
      <c r="C6" s="12"/>
      <c r="D6" s="12"/>
      <c r="E6" s="12"/>
      <c r="F6" s="12"/>
      <c r="G6" s="12"/>
      <c r="H6" s="12"/>
      <c r="I6" s="12"/>
      <c r="J6" s="12"/>
      <c r="K6" s="12"/>
      <c r="L6" s="12"/>
      <c r="M6" s="12"/>
      <c r="N6" s="12"/>
      <c r="O6" s="12"/>
    </row>
    <row r="7" spans="1:15" x14ac:dyDescent="0.25">
      <c r="A7" s="12"/>
      <c r="B7" s="12"/>
      <c r="C7" s="12"/>
      <c r="D7" s="12"/>
      <c r="E7" s="12"/>
      <c r="F7" s="12"/>
      <c r="G7" s="12"/>
      <c r="H7" s="12"/>
      <c r="I7" s="12"/>
      <c r="J7" s="12"/>
      <c r="K7" s="12"/>
      <c r="L7" s="12"/>
      <c r="M7" s="12"/>
      <c r="N7" s="12"/>
      <c r="O7" s="12"/>
    </row>
    <row r="8" spans="1:15" x14ac:dyDescent="0.25">
      <c r="A8" s="12"/>
      <c r="B8" s="12"/>
      <c r="C8" s="12"/>
      <c r="D8" s="12"/>
      <c r="E8" s="12"/>
      <c r="F8" s="12"/>
      <c r="G8" s="12"/>
      <c r="H8" s="12"/>
      <c r="I8" s="12"/>
      <c r="J8" s="12"/>
      <c r="K8" s="12"/>
      <c r="L8" s="12"/>
      <c r="M8" s="12"/>
      <c r="N8" s="12"/>
      <c r="O8" s="12"/>
    </row>
    <row r="9" spans="1:15" x14ac:dyDescent="0.25">
      <c r="A9" s="12"/>
      <c r="B9" s="12"/>
      <c r="C9" s="12"/>
      <c r="D9" s="12"/>
      <c r="E9" s="12"/>
      <c r="F9" s="12"/>
      <c r="G9" s="12"/>
      <c r="H9" s="12"/>
      <c r="I9" s="12"/>
      <c r="J9" s="12"/>
      <c r="K9" s="12"/>
      <c r="L9" s="12"/>
      <c r="M9" s="12"/>
      <c r="N9" s="12"/>
      <c r="O9" s="12"/>
    </row>
    <row r="10" spans="1:15" x14ac:dyDescent="0.25">
      <c r="A10" s="12"/>
      <c r="B10" s="12"/>
      <c r="C10" s="12"/>
      <c r="D10" s="12"/>
      <c r="E10" s="12"/>
      <c r="F10" s="12"/>
      <c r="G10" s="12"/>
      <c r="H10" s="12"/>
      <c r="I10" s="12"/>
      <c r="J10" s="12"/>
      <c r="K10" s="12"/>
      <c r="L10" s="12"/>
      <c r="M10" s="12"/>
      <c r="N10" s="12"/>
      <c r="O10" s="12"/>
    </row>
    <row r="11" spans="1:15" x14ac:dyDescent="0.25">
      <c r="A11" s="12"/>
      <c r="B11" s="12"/>
      <c r="C11" s="12"/>
      <c r="D11" s="12"/>
      <c r="E11" s="12"/>
      <c r="F11" s="12"/>
      <c r="G11" s="12"/>
      <c r="H11" s="12"/>
      <c r="I11" s="12"/>
      <c r="J11" s="12"/>
      <c r="K11" s="12"/>
      <c r="L11" s="12"/>
      <c r="M11" s="12"/>
      <c r="N11" s="12"/>
      <c r="O11" s="12"/>
    </row>
    <row r="12" spans="1:15" x14ac:dyDescent="0.25">
      <c r="A12" s="12"/>
      <c r="B12" s="12"/>
      <c r="C12" s="12"/>
      <c r="D12" s="12"/>
      <c r="E12" s="12"/>
      <c r="F12" s="12"/>
      <c r="G12" s="12"/>
      <c r="H12" s="12"/>
      <c r="I12" s="12"/>
      <c r="J12" s="12"/>
      <c r="K12" s="12"/>
      <c r="L12" s="12"/>
      <c r="M12" s="12"/>
      <c r="N12" s="12"/>
      <c r="O12" s="12"/>
    </row>
    <row r="13" spans="1:15" x14ac:dyDescent="0.25">
      <c r="A13" s="12"/>
      <c r="B13" s="12"/>
      <c r="C13" s="12"/>
      <c r="D13" s="12"/>
      <c r="E13" s="12"/>
      <c r="F13" s="12"/>
      <c r="G13" s="12"/>
      <c r="H13" s="12"/>
      <c r="I13" s="12"/>
      <c r="J13" s="12"/>
      <c r="K13" s="12"/>
      <c r="L13" s="12"/>
      <c r="M13" s="12"/>
      <c r="N13" s="12"/>
      <c r="O13" s="12"/>
    </row>
    <row r="14" spans="1:15" x14ac:dyDescent="0.25">
      <c r="A14" s="12"/>
      <c r="B14" s="12"/>
      <c r="C14" s="12"/>
      <c r="D14" s="12"/>
      <c r="E14" s="12"/>
      <c r="F14" s="12"/>
      <c r="G14" s="12"/>
      <c r="H14" s="12"/>
      <c r="I14" s="12"/>
      <c r="J14" s="12"/>
      <c r="K14" s="12"/>
      <c r="L14" s="12"/>
      <c r="M14" s="12"/>
      <c r="N14" s="12"/>
      <c r="O14" s="12"/>
    </row>
    <row r="15" spans="1:15" x14ac:dyDescent="0.25">
      <c r="A15" s="12"/>
      <c r="B15" s="12"/>
      <c r="C15" s="12"/>
      <c r="D15" s="12"/>
      <c r="E15" s="12"/>
      <c r="F15" s="12"/>
      <c r="G15" s="12"/>
      <c r="H15" s="12"/>
      <c r="I15" s="12"/>
      <c r="J15" s="12"/>
      <c r="K15" s="12"/>
      <c r="L15" s="12"/>
      <c r="M15" s="12"/>
      <c r="N15" s="12"/>
      <c r="O15" s="12"/>
    </row>
    <row r="16" spans="1:15" x14ac:dyDescent="0.25">
      <c r="A16" s="12"/>
      <c r="B16" s="12"/>
      <c r="C16" s="12"/>
      <c r="D16" s="12"/>
      <c r="E16" s="12"/>
      <c r="F16" s="12"/>
      <c r="G16" s="12"/>
      <c r="H16" s="12"/>
      <c r="I16" s="12"/>
      <c r="J16" s="12"/>
      <c r="K16" s="12"/>
      <c r="L16" s="12"/>
      <c r="M16" s="12"/>
      <c r="N16" s="12"/>
      <c r="O16" s="12"/>
    </row>
    <row r="17" spans="1:15" x14ac:dyDescent="0.25">
      <c r="A17" s="12"/>
      <c r="B17" s="12"/>
      <c r="C17" s="12"/>
      <c r="D17" s="12"/>
      <c r="E17" s="12"/>
      <c r="F17" s="12"/>
      <c r="G17" s="12"/>
      <c r="H17" s="12"/>
      <c r="I17" s="12"/>
      <c r="J17" s="12"/>
      <c r="K17" s="12"/>
      <c r="L17" s="12"/>
      <c r="M17" s="12"/>
      <c r="N17" s="12"/>
      <c r="O17" s="12"/>
    </row>
    <row r="18" spans="1:15" x14ac:dyDescent="0.25">
      <c r="A18" s="12"/>
      <c r="B18" s="12"/>
      <c r="C18" s="12"/>
      <c r="D18" s="12"/>
      <c r="E18" s="12"/>
      <c r="F18" s="12"/>
      <c r="G18" s="12"/>
      <c r="H18" s="12"/>
      <c r="I18" s="12"/>
      <c r="J18" s="12"/>
      <c r="K18" s="12"/>
      <c r="L18" s="12"/>
      <c r="M18" s="12"/>
      <c r="N18" s="12"/>
      <c r="O18" s="12"/>
    </row>
    <row r="19" spans="1:15" x14ac:dyDescent="0.25">
      <c r="A19" s="12"/>
      <c r="B19" s="12"/>
      <c r="C19" s="12"/>
      <c r="D19" s="12"/>
      <c r="E19" s="12"/>
      <c r="F19" s="12"/>
      <c r="G19" s="12"/>
      <c r="H19" s="12"/>
      <c r="I19" s="12"/>
      <c r="J19" s="12"/>
      <c r="K19" s="12"/>
      <c r="L19" s="12"/>
      <c r="M19" s="12"/>
      <c r="N19" s="12"/>
      <c r="O19" s="12"/>
    </row>
    <row r="20" spans="1:15" x14ac:dyDescent="0.25">
      <c r="A20" s="12"/>
      <c r="B20" s="12"/>
      <c r="C20" s="12"/>
      <c r="D20" s="12"/>
      <c r="E20" s="12"/>
      <c r="F20" s="12"/>
      <c r="G20" s="12"/>
      <c r="H20" s="12"/>
      <c r="I20" s="12"/>
      <c r="J20" s="12"/>
      <c r="K20" s="12"/>
      <c r="L20" s="12"/>
      <c r="M20" s="12"/>
      <c r="N20" s="12"/>
      <c r="O20" s="12"/>
    </row>
    <row r="21" spans="1:15" x14ac:dyDescent="0.25">
      <c r="A21" s="12"/>
      <c r="B21" s="12"/>
      <c r="C21" s="12"/>
      <c r="D21" s="12"/>
      <c r="E21" s="12"/>
      <c r="F21" s="12"/>
      <c r="G21" s="12"/>
      <c r="H21" s="12"/>
      <c r="I21" s="12"/>
      <c r="J21" s="12"/>
      <c r="K21" s="12"/>
      <c r="L21" s="12"/>
      <c r="M21" s="12"/>
      <c r="N21" s="12"/>
      <c r="O21" s="12"/>
    </row>
    <row r="22" spans="1:15" x14ac:dyDescent="0.25">
      <c r="A22" s="12"/>
      <c r="B22" s="12"/>
      <c r="C22" s="12"/>
      <c r="D22" s="12"/>
      <c r="E22" s="12"/>
      <c r="F22" s="12"/>
      <c r="G22" s="12"/>
      <c r="H22" s="12"/>
      <c r="I22" s="12"/>
      <c r="J22" s="12"/>
      <c r="K22" s="12"/>
      <c r="L22" s="12"/>
      <c r="M22" s="12"/>
      <c r="N22" s="12"/>
      <c r="O22" s="12"/>
    </row>
    <row r="23" spans="1:15" x14ac:dyDescent="0.25">
      <c r="A23" s="12"/>
      <c r="B23" s="12"/>
      <c r="C23" s="12"/>
      <c r="D23" s="12"/>
      <c r="E23" s="12"/>
      <c r="F23" s="12"/>
      <c r="G23" s="12"/>
      <c r="H23" s="12"/>
      <c r="I23" s="12"/>
      <c r="J23" s="12"/>
      <c r="K23" s="12"/>
      <c r="L23" s="12"/>
      <c r="M23" s="12"/>
      <c r="N23" s="12"/>
      <c r="O23" s="12"/>
    </row>
    <row r="24" spans="1:15" x14ac:dyDescent="0.25">
      <c r="A24" s="12"/>
      <c r="B24" s="12"/>
      <c r="C24" s="12"/>
      <c r="D24" s="12"/>
      <c r="E24" s="12"/>
      <c r="F24" s="12"/>
      <c r="G24" s="12"/>
      <c r="H24" s="12"/>
      <c r="I24" s="12"/>
      <c r="J24" s="12"/>
      <c r="K24" s="12"/>
      <c r="L24" s="12"/>
      <c r="M24" s="12"/>
      <c r="N24" s="12"/>
      <c r="O24" s="12"/>
    </row>
    <row r="25" spans="1:15" x14ac:dyDescent="0.25">
      <c r="F25"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3922-A2D4-4A79-A827-88DD7DA162A0}">
  <dimension ref="A1:O20"/>
  <sheetViews>
    <sheetView workbookViewId="0">
      <selection activeCell="E21" sqref="E21"/>
    </sheetView>
  </sheetViews>
  <sheetFormatPr defaultRowHeight="15" x14ac:dyDescent="0.25"/>
  <sheetData>
    <row r="1" spans="1:15" x14ac:dyDescent="0.25">
      <c r="A1" s="6"/>
      <c r="B1" s="6"/>
      <c r="C1" s="6"/>
      <c r="D1" s="6"/>
      <c r="E1" s="6"/>
      <c r="F1" s="6"/>
      <c r="G1" s="6"/>
      <c r="H1" s="6"/>
      <c r="I1" s="6"/>
      <c r="J1" s="6"/>
      <c r="K1" s="6"/>
      <c r="L1" s="6"/>
      <c r="M1" s="6"/>
      <c r="N1" s="6"/>
      <c r="O1" s="6"/>
    </row>
    <row r="2" spans="1:15" x14ac:dyDescent="0.25">
      <c r="A2" s="6"/>
      <c r="B2" s="6"/>
      <c r="C2" s="6"/>
      <c r="D2" s="6"/>
      <c r="E2" s="6"/>
      <c r="F2" s="6"/>
      <c r="G2" s="6"/>
      <c r="H2" s="6"/>
      <c r="I2" s="6"/>
      <c r="J2" s="6"/>
      <c r="K2" s="6"/>
      <c r="L2" s="6"/>
      <c r="M2" s="6"/>
      <c r="N2" s="6"/>
      <c r="O2" s="6"/>
    </row>
    <row r="3" spans="1:15" x14ac:dyDescent="0.25">
      <c r="A3" s="6"/>
      <c r="B3" s="6"/>
      <c r="C3" s="6"/>
      <c r="D3" s="6"/>
      <c r="E3" s="6"/>
      <c r="F3" s="6"/>
      <c r="G3" s="6"/>
      <c r="H3" s="6"/>
      <c r="I3" s="6"/>
      <c r="J3" s="6"/>
      <c r="K3" s="6"/>
      <c r="L3" s="6"/>
      <c r="M3" s="6"/>
      <c r="N3" s="6"/>
      <c r="O3" s="6"/>
    </row>
    <row r="4" spans="1:15" x14ac:dyDescent="0.25">
      <c r="A4" s="6"/>
      <c r="B4" s="6"/>
      <c r="C4" s="6"/>
      <c r="D4" s="6"/>
      <c r="E4" s="6"/>
      <c r="F4" s="6"/>
      <c r="G4" s="6"/>
      <c r="H4" s="6"/>
      <c r="I4" s="6"/>
      <c r="J4" s="6"/>
      <c r="K4" s="6"/>
      <c r="L4" s="6"/>
      <c r="M4" s="6"/>
      <c r="N4" s="6"/>
      <c r="O4" s="6"/>
    </row>
    <row r="5" spans="1:15" x14ac:dyDescent="0.25">
      <c r="A5" s="6"/>
      <c r="B5" s="6"/>
      <c r="C5" s="6"/>
      <c r="D5" s="6"/>
      <c r="E5" s="6"/>
      <c r="F5" s="6"/>
      <c r="G5" s="6"/>
      <c r="H5" s="6"/>
      <c r="I5" s="6"/>
      <c r="J5" s="6"/>
      <c r="K5" s="6"/>
      <c r="L5" s="6"/>
      <c r="M5" s="6"/>
      <c r="N5" s="6"/>
      <c r="O5" s="6"/>
    </row>
    <row r="6" spans="1:15" x14ac:dyDescent="0.25">
      <c r="A6" s="6"/>
      <c r="B6" s="6"/>
      <c r="C6" s="6"/>
      <c r="D6" s="6"/>
      <c r="E6" s="6"/>
      <c r="F6" s="6"/>
      <c r="G6" s="6"/>
      <c r="H6" s="6"/>
      <c r="I6" s="6"/>
      <c r="J6" s="6"/>
      <c r="K6" s="6"/>
      <c r="L6" s="6"/>
      <c r="M6" s="6"/>
      <c r="N6" s="6"/>
      <c r="O6" s="6"/>
    </row>
    <row r="7" spans="1:15" x14ac:dyDescent="0.25">
      <c r="A7" s="6"/>
      <c r="B7" s="6"/>
      <c r="C7" s="6"/>
      <c r="D7" s="6"/>
      <c r="E7" s="6"/>
      <c r="F7" s="6"/>
      <c r="G7" s="6"/>
      <c r="H7" s="6"/>
      <c r="I7" s="6"/>
      <c r="J7" s="6"/>
      <c r="K7" s="6"/>
      <c r="L7" s="6"/>
      <c r="M7" s="6"/>
      <c r="N7" s="6"/>
      <c r="O7" s="6"/>
    </row>
    <row r="8" spans="1:15" x14ac:dyDescent="0.25">
      <c r="A8" s="6"/>
      <c r="B8" s="6"/>
      <c r="C8" s="6"/>
      <c r="D8" s="6"/>
      <c r="E8" s="6"/>
      <c r="F8" s="6"/>
      <c r="G8" s="6"/>
      <c r="H8" s="6"/>
      <c r="I8" s="6"/>
      <c r="J8" s="6"/>
      <c r="K8" s="6"/>
      <c r="L8" s="6"/>
      <c r="M8" s="6"/>
      <c r="N8" s="6"/>
      <c r="O8" s="6"/>
    </row>
    <row r="9" spans="1:15" x14ac:dyDescent="0.25">
      <c r="A9" s="6"/>
      <c r="B9" s="6"/>
      <c r="C9" s="6"/>
      <c r="D9" s="6"/>
      <c r="E9" s="6"/>
      <c r="F9" s="6"/>
      <c r="G9" s="6"/>
      <c r="H9" s="6"/>
      <c r="I9" s="6"/>
      <c r="J9" s="6"/>
      <c r="K9" s="6"/>
      <c r="L9" s="6"/>
      <c r="M9" s="6"/>
      <c r="N9" s="6"/>
      <c r="O9" s="6"/>
    </row>
    <row r="10" spans="1:15" x14ac:dyDescent="0.25">
      <c r="A10" s="6"/>
      <c r="B10" s="6"/>
      <c r="C10" s="6"/>
      <c r="D10" s="6"/>
      <c r="E10" s="6"/>
      <c r="F10" s="6"/>
      <c r="G10" s="6"/>
      <c r="H10" s="6"/>
      <c r="I10" s="6"/>
      <c r="J10" s="6"/>
      <c r="K10" s="6"/>
      <c r="L10" s="6"/>
      <c r="M10" s="6"/>
      <c r="N10" s="6"/>
      <c r="O10" s="6"/>
    </row>
    <row r="11" spans="1:15" x14ac:dyDescent="0.25">
      <c r="A11" s="6"/>
      <c r="B11" s="6"/>
      <c r="C11" s="6"/>
      <c r="D11" s="6"/>
      <c r="E11" s="6"/>
      <c r="F11" s="6"/>
      <c r="G11" s="6"/>
      <c r="H11" s="6"/>
      <c r="I11" s="6"/>
      <c r="J11" s="6"/>
      <c r="K11" s="6"/>
      <c r="L11" s="6"/>
      <c r="M11" s="6"/>
      <c r="N11" s="6"/>
      <c r="O11" s="6"/>
    </row>
    <row r="12" spans="1:15" x14ac:dyDescent="0.25">
      <c r="A12" s="6"/>
      <c r="B12" s="6"/>
      <c r="C12" s="6"/>
      <c r="D12" s="6"/>
      <c r="E12" s="6"/>
      <c r="F12" s="6"/>
      <c r="G12" s="6"/>
      <c r="H12" s="6"/>
      <c r="I12" s="6"/>
      <c r="J12" s="6"/>
      <c r="K12" s="6"/>
      <c r="L12" s="6"/>
      <c r="M12" s="6"/>
      <c r="N12" s="6"/>
      <c r="O12" s="6"/>
    </row>
    <row r="13" spans="1:15" x14ac:dyDescent="0.25">
      <c r="A13" s="6"/>
      <c r="B13" s="6"/>
      <c r="C13" s="6"/>
      <c r="D13" s="6"/>
      <c r="E13" s="6"/>
      <c r="F13" s="6"/>
      <c r="G13" s="6"/>
      <c r="H13" s="6"/>
      <c r="I13" s="6"/>
      <c r="J13" s="6"/>
      <c r="K13" s="6"/>
      <c r="L13" s="6"/>
      <c r="M13" s="6"/>
      <c r="N13" s="6"/>
      <c r="O13" s="6"/>
    </row>
    <row r="14" spans="1:15" x14ac:dyDescent="0.25">
      <c r="A14" s="6"/>
      <c r="B14" s="6"/>
      <c r="C14" s="6"/>
      <c r="D14" s="6"/>
      <c r="E14" s="6"/>
      <c r="F14" s="6"/>
      <c r="G14" s="6"/>
      <c r="H14" s="6"/>
      <c r="I14" s="6"/>
      <c r="J14" s="6"/>
      <c r="K14" s="6"/>
      <c r="L14" s="6"/>
      <c r="M14" s="6"/>
      <c r="N14" s="6"/>
      <c r="O14" s="6"/>
    </row>
    <row r="15" spans="1:15" x14ac:dyDescent="0.25">
      <c r="A15" s="6"/>
      <c r="B15" s="6"/>
      <c r="C15" s="6"/>
      <c r="D15" s="6"/>
      <c r="E15" s="6"/>
      <c r="F15" s="6"/>
      <c r="G15" s="6"/>
      <c r="H15" s="6"/>
      <c r="I15" s="6"/>
      <c r="J15" s="6"/>
      <c r="K15" s="6"/>
      <c r="L15" s="6"/>
      <c r="M15" s="6"/>
      <c r="N15" s="6"/>
      <c r="O15" s="6"/>
    </row>
    <row r="16" spans="1:15" x14ac:dyDescent="0.25">
      <c r="A16" s="6"/>
      <c r="B16" s="6"/>
      <c r="C16" s="6"/>
      <c r="D16" s="6"/>
      <c r="E16" s="6"/>
      <c r="F16" s="6"/>
      <c r="G16" s="6"/>
      <c r="H16" s="6"/>
      <c r="I16" s="6"/>
      <c r="J16" s="6"/>
      <c r="K16" s="6"/>
      <c r="L16" s="6"/>
      <c r="M16" s="6"/>
      <c r="N16" s="6"/>
      <c r="O16" s="6"/>
    </row>
    <row r="17" spans="1:15" x14ac:dyDescent="0.25">
      <c r="A17" s="6"/>
      <c r="B17" s="6"/>
      <c r="C17" s="6"/>
      <c r="D17" s="6"/>
      <c r="E17" s="6"/>
      <c r="F17" s="6"/>
      <c r="G17" s="6"/>
      <c r="H17" s="6"/>
      <c r="I17" s="6"/>
      <c r="J17" s="6"/>
      <c r="K17" s="6"/>
      <c r="L17" s="6"/>
      <c r="M17" s="6"/>
      <c r="N17" s="6"/>
      <c r="O17" s="6"/>
    </row>
    <row r="18" spans="1:15" x14ac:dyDescent="0.25">
      <c r="A18" s="6"/>
      <c r="B18" s="6"/>
      <c r="C18" s="6"/>
      <c r="D18" s="6"/>
      <c r="E18" s="6"/>
      <c r="F18" s="6"/>
      <c r="G18" s="6"/>
      <c r="H18" s="6"/>
      <c r="I18" s="6"/>
      <c r="J18" s="6"/>
      <c r="K18" s="6"/>
      <c r="L18" s="6"/>
      <c r="M18" s="6"/>
      <c r="N18" s="6"/>
      <c r="O18" s="6"/>
    </row>
    <row r="19" spans="1:15" ht="15.75" thickBot="1" x14ac:dyDescent="0.3">
      <c r="A19" s="6"/>
      <c r="B19" s="6"/>
      <c r="C19" s="6"/>
      <c r="D19" s="6"/>
      <c r="E19" s="6"/>
      <c r="F19" s="6"/>
      <c r="G19" s="6"/>
      <c r="H19" s="6"/>
      <c r="I19" s="6"/>
      <c r="J19" s="6"/>
      <c r="K19" s="6"/>
      <c r="L19" s="6"/>
      <c r="M19" s="6"/>
      <c r="N19" s="6"/>
      <c r="O19" s="6"/>
    </row>
    <row r="20" spans="1:15" ht="19.5" thickBot="1" x14ac:dyDescent="0.35">
      <c r="A20" s="15" t="s">
        <v>6</v>
      </c>
      <c r="B20" s="16"/>
      <c r="C20" s="16"/>
      <c r="D20" s="16"/>
      <c r="E20" s="16"/>
      <c r="F20" s="16"/>
      <c r="G20" s="16"/>
      <c r="H20" s="16"/>
      <c r="I20" s="16"/>
      <c r="J20" s="16"/>
      <c r="K20" s="16"/>
      <c r="L20" s="16"/>
      <c r="M20" s="16"/>
      <c r="N20" s="16"/>
      <c r="O20" s="17"/>
    </row>
  </sheetData>
  <mergeCells count="1">
    <mergeCell ref="A20:O2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F105-533D-4881-A770-E510BD1BF4F6}">
  <dimension ref="A1:O19"/>
  <sheetViews>
    <sheetView workbookViewId="0"/>
  </sheetViews>
  <sheetFormatPr defaultRowHeight="15" x14ac:dyDescent="0.25"/>
  <sheetData>
    <row r="1" spans="1:15" x14ac:dyDescent="0.25">
      <c r="A1" s="6"/>
      <c r="B1" s="6"/>
      <c r="C1" s="6"/>
      <c r="D1" s="6"/>
      <c r="E1" s="6"/>
      <c r="F1" s="6"/>
      <c r="G1" s="6"/>
      <c r="H1" s="6"/>
      <c r="I1" s="6"/>
      <c r="J1" s="6"/>
      <c r="K1" s="6"/>
      <c r="L1" s="6"/>
      <c r="M1" s="6"/>
      <c r="N1" s="6"/>
      <c r="O1" s="6"/>
    </row>
    <row r="2" spans="1:15" x14ac:dyDescent="0.25">
      <c r="A2" s="6"/>
      <c r="B2" s="6"/>
      <c r="C2" s="6"/>
      <c r="D2" s="6"/>
      <c r="E2" s="6"/>
      <c r="F2" s="6"/>
      <c r="G2" s="6"/>
      <c r="H2" s="6"/>
      <c r="I2" s="6"/>
      <c r="J2" s="6"/>
      <c r="K2" s="6"/>
      <c r="L2" s="6"/>
      <c r="M2" s="6"/>
      <c r="N2" s="6"/>
      <c r="O2" s="6"/>
    </row>
    <row r="3" spans="1:15" x14ac:dyDescent="0.25">
      <c r="A3" s="6"/>
      <c r="B3" s="6"/>
      <c r="C3" s="6"/>
      <c r="D3" s="6"/>
      <c r="E3" s="6"/>
      <c r="F3" s="6"/>
      <c r="G3" s="6"/>
      <c r="H3" s="6"/>
      <c r="I3" s="6"/>
      <c r="J3" s="6"/>
      <c r="K3" s="6"/>
      <c r="L3" s="6"/>
      <c r="M3" s="6"/>
      <c r="N3" s="6"/>
      <c r="O3" s="6"/>
    </row>
    <row r="4" spans="1:15" x14ac:dyDescent="0.25">
      <c r="A4" s="6"/>
      <c r="B4" s="6"/>
      <c r="C4" s="6"/>
      <c r="D4" s="6"/>
      <c r="E4" s="6"/>
      <c r="F4" s="6"/>
      <c r="G4" s="6"/>
      <c r="H4" s="6"/>
      <c r="I4" s="6"/>
      <c r="J4" s="6"/>
      <c r="K4" s="6"/>
      <c r="L4" s="6"/>
      <c r="M4" s="6"/>
      <c r="N4" s="6"/>
      <c r="O4" s="6"/>
    </row>
    <row r="5" spans="1:15" x14ac:dyDescent="0.25">
      <c r="A5" s="6"/>
      <c r="B5" s="6"/>
      <c r="C5" s="6"/>
      <c r="D5" s="6"/>
      <c r="E5" s="6"/>
      <c r="F5" s="6"/>
      <c r="G5" s="6"/>
      <c r="H5" s="6"/>
      <c r="I5" s="6"/>
      <c r="J5" s="6"/>
      <c r="K5" s="6"/>
      <c r="L5" s="6"/>
      <c r="M5" s="6"/>
      <c r="N5" s="6"/>
      <c r="O5" s="6"/>
    </row>
    <row r="6" spans="1:15" x14ac:dyDescent="0.25">
      <c r="A6" s="6"/>
      <c r="B6" s="6"/>
      <c r="C6" s="6"/>
      <c r="D6" s="6"/>
      <c r="E6" s="6"/>
      <c r="F6" s="6"/>
      <c r="G6" s="6"/>
      <c r="H6" s="6"/>
      <c r="I6" s="6"/>
      <c r="J6" s="6"/>
      <c r="K6" s="6"/>
      <c r="L6" s="6"/>
      <c r="M6" s="6"/>
      <c r="N6" s="6"/>
      <c r="O6" s="6"/>
    </row>
    <row r="7" spans="1:15" x14ac:dyDescent="0.25">
      <c r="A7" s="6"/>
      <c r="B7" s="6"/>
      <c r="C7" s="6"/>
      <c r="D7" s="6"/>
      <c r="E7" s="6"/>
      <c r="F7" s="6"/>
      <c r="G7" s="6"/>
      <c r="H7" s="6"/>
      <c r="I7" s="6"/>
      <c r="J7" s="6"/>
      <c r="K7" s="6"/>
      <c r="L7" s="6"/>
      <c r="M7" s="6"/>
      <c r="N7" s="6"/>
      <c r="O7" s="6"/>
    </row>
    <row r="8" spans="1:15" x14ac:dyDescent="0.25">
      <c r="A8" s="6"/>
      <c r="B8" s="6"/>
      <c r="C8" s="6"/>
      <c r="D8" s="6"/>
      <c r="E8" s="6"/>
      <c r="F8" s="6"/>
      <c r="G8" s="6"/>
      <c r="H8" s="6"/>
      <c r="I8" s="6"/>
      <c r="J8" s="6"/>
      <c r="K8" s="6"/>
      <c r="L8" s="6"/>
      <c r="M8" s="6"/>
      <c r="N8" s="6"/>
      <c r="O8" s="6"/>
    </row>
    <row r="9" spans="1:15" x14ac:dyDescent="0.25">
      <c r="A9" s="6"/>
      <c r="B9" s="6"/>
      <c r="C9" s="6"/>
      <c r="D9" s="6"/>
      <c r="E9" s="6"/>
      <c r="F9" s="6"/>
      <c r="G9" s="6"/>
      <c r="H9" s="6"/>
      <c r="I9" s="6"/>
      <c r="J9" s="6"/>
      <c r="K9" s="6"/>
      <c r="L9" s="6"/>
      <c r="M9" s="6"/>
      <c r="N9" s="6"/>
      <c r="O9" s="6"/>
    </row>
    <row r="10" spans="1:15" x14ac:dyDescent="0.25">
      <c r="A10" s="6"/>
      <c r="B10" s="6"/>
      <c r="C10" s="6"/>
      <c r="D10" s="6"/>
      <c r="E10" s="6"/>
      <c r="F10" s="6"/>
      <c r="G10" s="6"/>
      <c r="H10" s="6"/>
      <c r="I10" s="6"/>
      <c r="J10" s="6"/>
      <c r="K10" s="6"/>
      <c r="L10" s="6"/>
      <c r="M10" s="6"/>
      <c r="N10" s="6"/>
      <c r="O10" s="6"/>
    </row>
    <row r="11" spans="1:15" x14ac:dyDescent="0.25">
      <c r="A11" s="6"/>
      <c r="B11" s="6"/>
      <c r="C11" s="6"/>
      <c r="D11" s="6"/>
      <c r="E11" s="6"/>
      <c r="F11" s="6"/>
      <c r="G11" s="6"/>
      <c r="H11" s="6"/>
      <c r="I11" s="6"/>
      <c r="J11" s="6"/>
      <c r="K11" s="6"/>
      <c r="L11" s="6"/>
      <c r="M11" s="6"/>
      <c r="N11" s="6"/>
      <c r="O11" s="6"/>
    </row>
    <row r="12" spans="1:15" x14ac:dyDescent="0.25">
      <c r="A12" s="6"/>
      <c r="B12" s="6"/>
      <c r="C12" s="6"/>
      <c r="D12" s="6"/>
      <c r="E12" s="6"/>
      <c r="F12" s="6"/>
      <c r="G12" s="6"/>
      <c r="H12" s="6"/>
      <c r="I12" s="6"/>
      <c r="J12" s="6"/>
      <c r="K12" s="6"/>
      <c r="L12" s="6"/>
      <c r="M12" s="6"/>
      <c r="N12" s="6"/>
      <c r="O12" s="6"/>
    </row>
    <row r="13" spans="1:15" x14ac:dyDescent="0.25">
      <c r="A13" s="6"/>
      <c r="B13" s="6"/>
      <c r="C13" s="6"/>
      <c r="D13" s="6"/>
      <c r="E13" s="6"/>
      <c r="F13" s="6"/>
      <c r="G13" s="6"/>
      <c r="H13" s="6"/>
      <c r="I13" s="6"/>
      <c r="J13" s="6"/>
      <c r="K13" s="6"/>
      <c r="L13" s="6"/>
      <c r="M13" s="6"/>
      <c r="N13" s="6"/>
      <c r="O13" s="6"/>
    </row>
    <row r="14" spans="1:15" x14ac:dyDescent="0.25">
      <c r="A14" s="6"/>
      <c r="B14" s="6"/>
      <c r="C14" s="6"/>
      <c r="D14" s="6"/>
      <c r="E14" s="6"/>
      <c r="F14" s="6"/>
      <c r="G14" s="6"/>
      <c r="H14" s="6"/>
      <c r="I14" s="6"/>
      <c r="J14" s="6"/>
      <c r="K14" s="6"/>
      <c r="L14" s="6"/>
      <c r="M14" s="6"/>
      <c r="N14" s="6"/>
      <c r="O14" s="6"/>
    </row>
    <row r="15" spans="1:15" x14ac:dyDescent="0.25">
      <c r="A15" s="6"/>
      <c r="B15" s="6"/>
      <c r="C15" s="6"/>
      <c r="D15" s="6"/>
      <c r="E15" s="6"/>
      <c r="F15" s="6"/>
      <c r="G15" s="6"/>
      <c r="H15" s="6"/>
      <c r="I15" s="6"/>
      <c r="J15" s="6"/>
      <c r="K15" s="6"/>
      <c r="L15" s="6"/>
      <c r="M15" s="6"/>
      <c r="N15" s="6"/>
      <c r="O15" s="6"/>
    </row>
    <row r="16" spans="1:15" x14ac:dyDescent="0.25">
      <c r="A16" s="6"/>
      <c r="B16" s="6"/>
      <c r="C16" s="6"/>
      <c r="D16" s="6"/>
      <c r="E16" s="6"/>
      <c r="F16" s="6"/>
      <c r="G16" s="6"/>
      <c r="H16" s="6"/>
      <c r="I16" s="6"/>
      <c r="J16" s="6"/>
      <c r="K16" s="6"/>
      <c r="L16" s="6"/>
      <c r="M16" s="6"/>
      <c r="N16" s="6"/>
      <c r="O16" s="6"/>
    </row>
    <row r="17" spans="1:15" x14ac:dyDescent="0.25">
      <c r="A17" s="6"/>
      <c r="B17" s="6"/>
      <c r="C17" s="6"/>
      <c r="D17" s="6"/>
      <c r="E17" s="6"/>
      <c r="F17" s="6"/>
      <c r="G17" s="6"/>
      <c r="H17" s="6"/>
      <c r="I17" s="6"/>
      <c r="J17" s="6"/>
      <c r="K17" s="6"/>
      <c r="L17" s="6"/>
      <c r="M17" s="6"/>
      <c r="N17" s="6"/>
      <c r="O17" s="6"/>
    </row>
    <row r="18" spans="1:15" x14ac:dyDescent="0.25">
      <c r="A18" s="6"/>
      <c r="B18" s="6"/>
      <c r="C18" s="6"/>
      <c r="D18" s="6"/>
      <c r="E18" s="6"/>
      <c r="F18" s="6"/>
      <c r="G18" s="6"/>
      <c r="H18" s="6"/>
      <c r="I18" s="6"/>
      <c r="J18" s="6"/>
      <c r="K18" s="6"/>
      <c r="L18" s="6"/>
      <c r="M18" s="6"/>
      <c r="N18" s="6"/>
      <c r="O18" s="6"/>
    </row>
    <row r="19" spans="1:15" x14ac:dyDescent="0.25">
      <c r="A19" s="6"/>
      <c r="B19" s="6"/>
      <c r="C19" s="6"/>
      <c r="D19" s="6"/>
      <c r="E19" s="6"/>
      <c r="F19" s="6"/>
      <c r="G19" s="6"/>
      <c r="H19" s="6"/>
      <c r="I19" s="6"/>
      <c r="J19" s="6"/>
      <c r="K19" s="6"/>
      <c r="L19" s="6"/>
      <c r="M19" s="6"/>
      <c r="N19" s="6"/>
      <c r="O19"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09EA7-9A39-4112-9777-068520627D4F}">
  <dimension ref="A1:O19"/>
  <sheetViews>
    <sheetView workbookViewId="0"/>
  </sheetViews>
  <sheetFormatPr defaultRowHeight="15" x14ac:dyDescent="0.25"/>
  <sheetData>
    <row r="1" spans="1:15" x14ac:dyDescent="0.25">
      <c r="A1" s="6"/>
      <c r="B1" s="6"/>
      <c r="C1" s="6"/>
      <c r="D1" s="6"/>
      <c r="E1" s="6"/>
      <c r="F1" s="6"/>
      <c r="G1" s="6"/>
      <c r="H1" s="6"/>
      <c r="I1" s="6"/>
      <c r="J1" s="6"/>
      <c r="K1" s="6"/>
      <c r="L1" s="6"/>
      <c r="M1" s="6"/>
      <c r="N1" s="6"/>
      <c r="O1" s="6"/>
    </row>
    <row r="2" spans="1:15" x14ac:dyDescent="0.25">
      <c r="A2" s="6"/>
      <c r="B2" s="6"/>
      <c r="C2" s="6"/>
      <c r="D2" s="6"/>
      <c r="E2" s="6"/>
      <c r="F2" s="6"/>
      <c r="G2" s="6"/>
      <c r="H2" s="6"/>
      <c r="I2" s="6"/>
      <c r="J2" s="6"/>
      <c r="K2" s="6"/>
      <c r="L2" s="6"/>
      <c r="M2" s="6"/>
      <c r="N2" s="6"/>
      <c r="O2" s="6"/>
    </row>
    <row r="3" spans="1:15" x14ac:dyDescent="0.25">
      <c r="A3" s="6"/>
      <c r="B3" s="6"/>
      <c r="C3" s="6"/>
      <c r="D3" s="6"/>
      <c r="E3" s="6"/>
      <c r="F3" s="6"/>
      <c r="G3" s="6"/>
      <c r="H3" s="6"/>
      <c r="I3" s="6"/>
      <c r="J3" s="6"/>
      <c r="K3" s="6"/>
      <c r="L3" s="6"/>
      <c r="M3" s="6"/>
      <c r="N3" s="6"/>
      <c r="O3" s="6"/>
    </row>
    <row r="4" spans="1:15" x14ac:dyDescent="0.25">
      <c r="A4" s="6"/>
      <c r="B4" s="6"/>
      <c r="C4" s="6"/>
      <c r="D4" s="6"/>
      <c r="E4" s="6"/>
      <c r="F4" s="6"/>
      <c r="G4" s="6"/>
      <c r="H4" s="6"/>
      <c r="I4" s="6"/>
      <c r="J4" s="6"/>
      <c r="K4" s="6"/>
      <c r="L4" s="6"/>
      <c r="M4" s="6"/>
      <c r="N4" s="6"/>
      <c r="O4" s="6"/>
    </row>
    <row r="5" spans="1:15" x14ac:dyDescent="0.25">
      <c r="A5" s="6"/>
      <c r="B5" s="6"/>
      <c r="C5" s="6"/>
      <c r="D5" s="6"/>
      <c r="E5" s="6"/>
      <c r="F5" s="6"/>
      <c r="G5" s="6"/>
      <c r="H5" s="6"/>
      <c r="I5" s="6"/>
      <c r="J5" s="6"/>
      <c r="K5" s="6"/>
      <c r="L5" s="6"/>
      <c r="M5" s="6"/>
      <c r="N5" s="6"/>
      <c r="O5" s="6"/>
    </row>
    <row r="6" spans="1:15" x14ac:dyDescent="0.25">
      <c r="A6" s="6"/>
      <c r="B6" s="6"/>
      <c r="C6" s="6"/>
      <c r="D6" s="6"/>
      <c r="E6" s="6"/>
      <c r="F6" s="6"/>
      <c r="G6" s="6"/>
      <c r="H6" s="6"/>
      <c r="I6" s="6"/>
      <c r="J6" s="6"/>
      <c r="K6" s="6"/>
      <c r="L6" s="6"/>
      <c r="M6" s="6"/>
      <c r="N6" s="6"/>
      <c r="O6" s="6"/>
    </row>
    <row r="7" spans="1:15" x14ac:dyDescent="0.25">
      <c r="A7" s="6"/>
      <c r="B7" s="6"/>
      <c r="C7" s="6"/>
      <c r="D7" s="6"/>
      <c r="E7" s="6"/>
      <c r="F7" s="6"/>
      <c r="G7" s="6"/>
      <c r="H7" s="6"/>
      <c r="I7" s="6"/>
      <c r="J7" s="6"/>
      <c r="K7" s="6"/>
      <c r="L7" s="6"/>
      <c r="M7" s="6"/>
      <c r="N7" s="6"/>
      <c r="O7" s="6"/>
    </row>
    <row r="8" spans="1:15" x14ac:dyDescent="0.25">
      <c r="A8" s="6"/>
      <c r="B8" s="6"/>
      <c r="C8" s="6"/>
      <c r="D8" s="6"/>
      <c r="E8" s="6"/>
      <c r="F8" s="6"/>
      <c r="G8" s="6"/>
      <c r="H8" s="6"/>
      <c r="I8" s="6"/>
      <c r="J8" s="6"/>
      <c r="K8" s="6"/>
      <c r="L8" s="6"/>
      <c r="M8" s="6"/>
      <c r="N8" s="6"/>
      <c r="O8" s="6"/>
    </row>
    <row r="9" spans="1:15" x14ac:dyDescent="0.25">
      <c r="A9" s="6"/>
      <c r="B9" s="6"/>
      <c r="C9" s="6"/>
      <c r="D9" s="6"/>
      <c r="E9" s="6"/>
      <c r="F9" s="6"/>
      <c r="G9" s="6"/>
      <c r="H9" s="6"/>
      <c r="I9" s="6"/>
      <c r="J9" s="6"/>
      <c r="K9" s="6"/>
      <c r="L9" s="6"/>
      <c r="M9" s="6"/>
      <c r="N9" s="6"/>
      <c r="O9" s="6"/>
    </row>
    <row r="10" spans="1:15" x14ac:dyDescent="0.25">
      <c r="A10" s="6"/>
      <c r="B10" s="6"/>
      <c r="C10" s="6"/>
      <c r="D10" s="6"/>
      <c r="E10" s="6"/>
      <c r="F10" s="6"/>
      <c r="G10" s="6"/>
      <c r="H10" s="6"/>
      <c r="I10" s="6"/>
      <c r="J10" s="6"/>
      <c r="K10" s="6"/>
      <c r="L10" s="6"/>
      <c r="M10" s="6"/>
      <c r="N10" s="6"/>
      <c r="O10" s="6"/>
    </row>
    <row r="11" spans="1:15" x14ac:dyDescent="0.25">
      <c r="A11" s="6"/>
      <c r="B11" s="6"/>
      <c r="C11" s="6"/>
      <c r="D11" s="6"/>
      <c r="E11" s="6"/>
      <c r="F11" s="6"/>
      <c r="G11" s="6"/>
      <c r="H11" s="6"/>
      <c r="I11" s="6"/>
      <c r="J11" s="6"/>
      <c r="K11" s="6"/>
      <c r="L11" s="6"/>
      <c r="M11" s="6"/>
      <c r="N11" s="6"/>
      <c r="O11" s="6"/>
    </row>
    <row r="12" spans="1:15" x14ac:dyDescent="0.25">
      <c r="A12" s="6"/>
      <c r="B12" s="6"/>
      <c r="C12" s="6"/>
      <c r="D12" s="6"/>
      <c r="E12" s="6"/>
      <c r="F12" s="6"/>
      <c r="G12" s="6"/>
      <c r="H12" s="6"/>
      <c r="I12" s="6"/>
      <c r="J12" s="6"/>
      <c r="K12" s="6"/>
      <c r="L12" s="6"/>
      <c r="M12" s="6"/>
      <c r="N12" s="6"/>
      <c r="O12" s="6"/>
    </row>
    <row r="13" spans="1:15" x14ac:dyDescent="0.25">
      <c r="A13" s="6"/>
      <c r="B13" s="6"/>
      <c r="C13" s="6"/>
      <c r="D13" s="6"/>
      <c r="E13" s="6"/>
      <c r="F13" s="6"/>
      <c r="G13" s="6"/>
      <c r="H13" s="6"/>
      <c r="I13" s="6"/>
      <c r="J13" s="6"/>
      <c r="K13" s="6"/>
      <c r="L13" s="6"/>
      <c r="M13" s="6"/>
      <c r="N13" s="6"/>
      <c r="O13" s="6"/>
    </row>
    <row r="14" spans="1:15" x14ac:dyDescent="0.25">
      <c r="A14" s="6"/>
      <c r="B14" s="6"/>
      <c r="C14" s="6"/>
      <c r="D14" s="6"/>
      <c r="E14" s="6"/>
      <c r="F14" s="6"/>
      <c r="G14" s="6"/>
      <c r="H14" s="6"/>
      <c r="I14" s="6"/>
      <c r="J14" s="6"/>
      <c r="K14" s="6"/>
      <c r="L14" s="6"/>
      <c r="M14" s="6"/>
      <c r="N14" s="6"/>
      <c r="O14" s="6"/>
    </row>
    <row r="15" spans="1:15" x14ac:dyDescent="0.25">
      <c r="A15" s="6"/>
      <c r="B15" s="6"/>
      <c r="C15" s="6"/>
      <c r="D15" s="6"/>
      <c r="E15" s="6"/>
      <c r="F15" s="6"/>
      <c r="G15" s="6"/>
      <c r="H15" s="6"/>
      <c r="I15" s="6"/>
      <c r="J15" s="6"/>
      <c r="K15" s="6"/>
      <c r="L15" s="6"/>
      <c r="M15" s="6"/>
      <c r="N15" s="6"/>
      <c r="O15" s="6"/>
    </row>
    <row r="16" spans="1:15" x14ac:dyDescent="0.25">
      <c r="A16" s="6"/>
      <c r="B16" s="6"/>
      <c r="C16" s="6"/>
      <c r="D16" s="6"/>
      <c r="E16" s="6"/>
      <c r="F16" s="6"/>
      <c r="G16" s="6"/>
      <c r="H16" s="6"/>
      <c r="I16" s="6"/>
      <c r="J16" s="6"/>
      <c r="K16" s="6"/>
      <c r="L16" s="6"/>
      <c r="M16" s="6"/>
      <c r="N16" s="6"/>
      <c r="O16" s="6"/>
    </row>
    <row r="17" spans="1:15" x14ac:dyDescent="0.25">
      <c r="A17" s="6"/>
      <c r="B17" s="6"/>
      <c r="C17" s="6"/>
      <c r="D17" s="6"/>
      <c r="E17" s="6"/>
      <c r="F17" s="6"/>
      <c r="G17" s="6"/>
      <c r="H17" s="6"/>
      <c r="I17" s="6"/>
      <c r="J17" s="6"/>
      <c r="K17" s="6"/>
      <c r="L17" s="6"/>
      <c r="M17" s="6"/>
      <c r="N17" s="6"/>
      <c r="O17" s="6"/>
    </row>
    <row r="18" spans="1:15" x14ac:dyDescent="0.25">
      <c r="A18" s="6"/>
      <c r="B18" s="6"/>
      <c r="C18" s="6"/>
      <c r="D18" s="6"/>
      <c r="E18" s="6"/>
      <c r="F18" s="6"/>
      <c r="G18" s="6"/>
      <c r="H18" s="6"/>
      <c r="I18" s="6"/>
      <c r="J18" s="6"/>
      <c r="K18" s="6"/>
      <c r="L18" s="6"/>
      <c r="M18" s="6"/>
      <c r="N18" s="6"/>
      <c r="O18" s="6"/>
    </row>
    <row r="19" spans="1:15" x14ac:dyDescent="0.25">
      <c r="A19" s="6"/>
      <c r="B19" s="6"/>
      <c r="C19" s="6"/>
      <c r="D19" s="6"/>
      <c r="E19" s="6"/>
      <c r="F19" s="6"/>
      <c r="G19" s="6"/>
      <c r="H19" s="6"/>
      <c r="I19" s="6"/>
      <c r="J19" s="6"/>
      <c r="K19" s="6"/>
      <c r="L19" s="6"/>
      <c r="M19" s="6"/>
      <c r="N19" s="6"/>
      <c r="O19"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9A8D8CA-DFD1-43EA-BD9D-B9175A1C12FA}">
  <ds:schemaRefs/>
</ds:datastoreItem>
</file>

<file path=customXml/itemProps2.xml><?xml version="1.0" encoding="utf-8"?>
<ds:datastoreItem xmlns:ds="http://schemas.openxmlformats.org/officeDocument/2006/customXml" ds:itemID="{7E971E99-D6FC-4C26-811B-042DB934154E}">
  <ds:schemaRefs/>
</ds:datastoreItem>
</file>

<file path=customXml/itemProps3.xml><?xml version="1.0" encoding="utf-8"?>
<ds:datastoreItem xmlns:ds="http://schemas.openxmlformats.org/officeDocument/2006/customXml" ds:itemID="{F365CFF9-A682-4B36-BAAC-FD05A203A526}">
  <ds:schemaRefs/>
</ds:datastoreItem>
</file>

<file path=customXml/itemProps4.xml><?xml version="1.0" encoding="utf-8"?>
<ds:datastoreItem xmlns:ds="http://schemas.openxmlformats.org/officeDocument/2006/customXml" ds:itemID="{29B90B17-84AD-4903-8DFF-97DBC46590D6}">
  <ds:schemaRefs/>
</ds:datastoreItem>
</file>

<file path=customXml/itemProps5.xml><?xml version="1.0" encoding="utf-8"?>
<ds:datastoreItem xmlns:ds="http://schemas.openxmlformats.org/officeDocument/2006/customXml" ds:itemID="{BF684E50-B88C-49FF-9FFC-3DB1C2A0FA0D}">
  <ds:schemaRefs/>
</ds:datastoreItem>
</file>

<file path=customXml/itemProps6.xml><?xml version="1.0" encoding="utf-8"?>
<ds:datastoreItem xmlns:ds="http://schemas.openxmlformats.org/officeDocument/2006/customXml" ds:itemID="{8712D26D-57E0-41F5-A86E-8121AB52244E}">
  <ds:schemaRefs/>
</ds:datastoreItem>
</file>

<file path=customXml/itemProps7.xml><?xml version="1.0" encoding="utf-8"?>
<ds:datastoreItem xmlns:ds="http://schemas.openxmlformats.org/officeDocument/2006/customXml" ds:itemID="{782F383E-D4ED-4432-8D3D-11433F6984F2}">
  <ds:schemaRefs/>
</ds:datastoreItem>
</file>

<file path=customXml/itemProps8.xml><?xml version="1.0" encoding="utf-8"?>
<ds:datastoreItem xmlns:ds="http://schemas.openxmlformats.org/officeDocument/2006/customXml" ds:itemID="{E609B961-7949-4DAF-9B30-BD55FF649059}">
  <ds:schemaRefs/>
</ds:datastoreItem>
</file>

<file path=customXml/itemProps9.xml><?xml version="1.0" encoding="utf-8"?>
<ds:datastoreItem xmlns:ds="http://schemas.openxmlformats.org/officeDocument/2006/customXml" ds:itemID="{76C4B047-25E5-40D7-9D4E-2BA4E1441D1E}">
  <ds:schemaRefs/>
</ds:datastoreItem>
</file>

<file path=customXml/itemProps10.xml><?xml version="1.0" encoding="utf-8"?>
<ds:datastoreItem xmlns:ds="http://schemas.openxmlformats.org/officeDocument/2006/customXml" ds:itemID="{603E0A62-32CB-4315-860F-BF8F951E470C}">
  <ds:schemaRefs/>
</ds:datastoreItem>
</file>

<file path=customXml/itemProps11.xml><?xml version="1.0" encoding="utf-8"?>
<ds:datastoreItem xmlns:ds="http://schemas.openxmlformats.org/officeDocument/2006/customXml" ds:itemID="{0FC7292B-DC4D-497F-9526-DFC10FC52C49}">
  <ds:schemaRefs/>
</ds:datastoreItem>
</file>

<file path=customXml/itemProps12.xml><?xml version="1.0" encoding="utf-8"?>
<ds:datastoreItem xmlns:ds="http://schemas.openxmlformats.org/officeDocument/2006/customXml" ds:itemID="{1F13896B-5636-4BC9-A5B3-91CFCB7E6EE2}">
  <ds:schemaRefs/>
</ds:datastoreItem>
</file>

<file path=customXml/itemProps13.xml><?xml version="1.0" encoding="utf-8"?>
<ds:datastoreItem xmlns:ds="http://schemas.openxmlformats.org/officeDocument/2006/customXml" ds:itemID="{E1120B58-B954-4CC7-A0CC-238EB86C2206}">
  <ds:schemaRefs>
    <ds:schemaRef ds:uri="http://schemas.microsoft.com/DataMashup"/>
  </ds:schemaRefs>
</ds:datastoreItem>
</file>

<file path=customXml/itemProps14.xml><?xml version="1.0" encoding="utf-8"?>
<ds:datastoreItem xmlns:ds="http://schemas.openxmlformats.org/officeDocument/2006/customXml" ds:itemID="{03877D1D-DB73-4260-82C7-EBE1B980BA1A}">
  <ds:schemaRefs/>
</ds:datastoreItem>
</file>

<file path=customXml/itemProps15.xml><?xml version="1.0" encoding="utf-8"?>
<ds:datastoreItem xmlns:ds="http://schemas.openxmlformats.org/officeDocument/2006/customXml" ds:itemID="{5B54F3F1-F1AA-4015-9801-1154F9334F91}">
  <ds:schemaRefs/>
</ds:datastoreItem>
</file>

<file path=customXml/itemProps16.xml><?xml version="1.0" encoding="utf-8"?>
<ds:datastoreItem xmlns:ds="http://schemas.openxmlformats.org/officeDocument/2006/customXml" ds:itemID="{3007A396-C7B2-42C1-A5F4-DB097579FE2A}">
  <ds:schemaRefs/>
</ds:datastoreItem>
</file>

<file path=customXml/itemProps17.xml><?xml version="1.0" encoding="utf-8"?>
<ds:datastoreItem xmlns:ds="http://schemas.openxmlformats.org/officeDocument/2006/customXml" ds:itemID="{5E0642C7-61D5-496E-8391-38460BF08877}">
  <ds:schemaRefs/>
</ds:datastoreItem>
</file>

<file path=customXml/itemProps18.xml><?xml version="1.0" encoding="utf-8"?>
<ds:datastoreItem xmlns:ds="http://schemas.openxmlformats.org/officeDocument/2006/customXml" ds:itemID="{DD4788FE-5C52-429F-A2DA-9DDEECE622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vt:lpstr>
      <vt:lpstr>Dashboard</vt:lpstr>
      <vt:lpstr>No off Patient</vt:lpstr>
      <vt:lpstr>Avg Waittime</vt:lpstr>
      <vt:lpstr>Average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Jameel</dc:creator>
  <cp:lastModifiedBy>Hassan Jameel</cp:lastModifiedBy>
  <dcterms:created xsi:type="dcterms:W3CDTF">2015-06-05T18:17:20Z</dcterms:created>
  <dcterms:modified xsi:type="dcterms:W3CDTF">2025-12-16T10:31:14Z</dcterms:modified>
</cp:coreProperties>
</file>